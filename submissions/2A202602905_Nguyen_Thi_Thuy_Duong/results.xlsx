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78bd18e7ad4d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ckbones" sheetId="1" r:id="R9890b8905bf44a8d"/>
    <x:sheet xmlns:r="http://schemas.openxmlformats.org/officeDocument/2006/relationships" name="Training" sheetId="2" r:id="Rae56adbed3a64604"/>
    <x:sheet xmlns:r="http://schemas.openxmlformats.org/officeDocument/2006/relationships" name="Inference" sheetId="3" r:id="R25758883063d42b9"/>
    <x:sheet xmlns:r="http://schemas.openxmlformats.org/officeDocument/2006/relationships" name="Final" sheetId="4" r:id="R646cb32e87294f55"/>
    <x:sheet xmlns:r="http://schemas.openxmlformats.org/officeDocument/2006/relationships" name="PerClass" sheetId="5" r:id="Rb2956dbf147c47e8"/>
    <x:sheet xmlns:r="http://schemas.openxmlformats.org/officeDocument/2006/relationships" name="Latency" sheetId="6" r:id="R4d6c159c01a54e21"/>
    <x:sheet xmlns:r="http://schemas.openxmlformats.org/officeDocument/2006/relationships" name="Summary" sheetId="7" r:id="R7f98569667ad482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"/>
    <x:numFmt numFmtId="201" formatCode="#,##0"/>
  </x:numFmts>
  <x:fonts count="6">
    <x:font>
      <x:sz val="11"/>
      <x:name val="Carlito"/>
    </x:font>
    <x:font>
      <x:sz val="10"/>
      <x:color rgb="FF172D3A"/>
      <x:name val="Arial"/>
    </x:font>
    <x:font>
      <x:b/>
      <x:sz val="14"/>
      <x:color rgb="FF172D3A"/>
      <x:name val="Arial"/>
    </x:font>
    <x:font>
      <x:sz val="9"/>
      <x:color rgb="FF49626D"/>
      <x:name val="Arial"/>
    </x:font>
    <x:font>
      <x:b/>
      <x:sz val="10"/>
      <x:color rgb="FFFFFFFF"/>
      <x:name val="Arial"/>
    </x:font>
    <x:font>
      <x:b/>
      <x:sz val="10"/>
      <x:color rgb="FF164E38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7475D"/>
      </x:patternFill>
    </x:fill>
    <x:fill>
      <x:patternFill patternType="solid">
        <x:fgColor rgb="FFF2F6F7"/>
      </x:patternFill>
    </x:fill>
    <x:fill>
      <x:patternFill patternType="solid">
        <x:fgColor rgb="FFDEF0E8"/>
      </x:patternFill>
    </x:fill>
  </x:fills>
  <x:borders count="2">
    <x:border/>
    <x:border>
      <x:bottom style="thin">
        <x:color rgb="FF0F766E"/>
      </x:bottom>
    </x:border>
  </x:borders>
  <x:cellStyleXfs count="1">
    <x:xf numFmtId="0" fontId="0" fillId="0" borderId="0"/>
  </x:cellStyleXfs>
  <x:cellXfs count="2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 wrapText="1"/>
    </x:xf>
    <x:xf numFmtId="200" fontId="1" fillId="4" borderId="0" xfId="0" applyNumberFormat="1" applyFont="1" applyFill="1" applyBorder="1" applyAlignment="1">
      <x:alignment vertical="center"/>
    </x:xf>
    <x:xf numFmtId="201" fontId="1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 wrapText="1"/>
    </x:xf>
    <x:xf numFmtId="200" fontId="5" fillId="4" borderId="0" xfId="0" applyNumberFormat="1" applyFont="1" applyFill="1" applyBorder="1" applyAlignment="1">
      <x:alignment vertical="center"/>
    </x:xf>
    <x:xf numFmtId="201" fontId="5" fillId="4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8374155cfc4ea7" /><Relationship Type="http://schemas.openxmlformats.org/officeDocument/2006/relationships/theme" Target="/xl/theme/theme1.xml" Id="R3d31ee6a45ea47b5" /><Relationship Type="http://schemas.openxmlformats.org/officeDocument/2006/relationships/sharedStrings" Target="/xl/sharedStrings.xml" Id="R169b514ce4f84420" /><Relationship Type="http://schemas.openxmlformats.org/officeDocument/2006/relationships/worksheet" Target="/xl/worksheets/sheet1.xml" Id="R9890b8905bf44a8d" /><Relationship Type="http://schemas.openxmlformats.org/officeDocument/2006/relationships/worksheet" Target="/xl/worksheets/sheet2.xml" Id="Rae56adbed3a64604" /><Relationship Type="http://schemas.openxmlformats.org/officeDocument/2006/relationships/worksheet" Target="/xl/worksheets/sheet3.xml" Id="R25758883063d42b9" /><Relationship Type="http://schemas.openxmlformats.org/officeDocument/2006/relationships/worksheet" Target="/xl/worksheets/sheet4.xml" Id="R646cb32e87294f55" /><Relationship Type="http://schemas.openxmlformats.org/officeDocument/2006/relationships/worksheet" Target="/xl/worksheets/sheet5.xml" Id="Rb2956dbf147c47e8" /><Relationship Type="http://schemas.openxmlformats.org/officeDocument/2006/relationships/worksheet" Target="/xl/worksheets/sheet6.xml" Id="R4d6c159c01a54e21" /><Relationship Type="http://schemas.openxmlformats.org/officeDocument/2006/relationships/worksheet" Target="/xl/worksheets/sheet7.xml" Id="R7f98569667ad4823" /></Relationships>
</file>

<file path=xl/tables/table1.xml><?xml version="1.0" encoding="utf-8"?>
<x:table xmlns:x="http://schemas.openxmlformats.org/spreadsheetml/2006/main" id="1" name="BackbonesResults" displayName="BackbonesResults" ref="A4:M9" headerRowCount="1" totalsRowCount="0" totalsRowShown="0">
  <x:tableColumns count="13">
    <x:tableColumn id="1" name="exp_id"/>
    <x:tableColumn id="2" name="Backbone"/>
    <x:tableColumn id="3" name="Tag trọng số"/>
    <x:tableColumn id="4" name="Tham số (M)"/>
    <x:tableColumn id="5" name="GMAC"/>
    <x:tableColumn id="6" name="Ảnh (px)"/>
    <x:tableColumn id="7" name="Epoch"/>
    <x:tableColumn id="8" name="Seed"/>
    <x:tableColumn id="9" name="Macro-F1 val"/>
    <x:tableColumn id="10" name="Top-1 val"/>
    <x:tableColumn id="11" name="Train/epoch (s)"/>
    <x:tableColumn id="12" name="p50 batch 1 (ms)"/>
    <x:tableColumn id="13" name="Ghi chú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rainingResults" displayName="TrainingResults" ref="A4:M15" headerRowCount="1" totalsRowCount="0" totalsRowShown="0">
  <x:tableColumns count="13">
    <x:tableColumn id="1" name="exp_id"/>
    <x:tableColumn id="2" name="Backbone"/>
    <x:tableColumn id="3" name="Trục"/>
    <x:tableColumn id="4" name="Khác T00"/>
    <x:tableColumn id="5" name="Seed"/>
    <x:tableColumn id="6" name="Macro-F1 val"/>
    <x:tableColumn id="7" name="Top-1 val"/>
    <x:tableColumn id="8" name="Delta F1 / T00"/>
    <x:tableColumn id="9" name="F1 Chinee apple"/>
    <x:tableColumn id="10" name="F1 Snake weed"/>
    <x:tableColumn id="11" name="F1 Negative"/>
    <x:tableColumn id="12" name="Train/epoch (s)"/>
    <x:tableColumn id="13" name="Ghi chú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InferenceResults" displayName="InferenceResults" ref="A4:O10" headerRowCount="1" totalsRowCount="0" totalsRowShown="0">
  <x:tableColumns count="15">
    <x:tableColumn id="1" name="exp_id"/>
    <x:tableColumn id="2" name="Phương pháp"/>
    <x:tableColumn id="3" name="Checkpoint"/>
    <x:tableColumn id="4" name="K"/>
    <x:tableColumn id="5" name="Macro-F1 val"/>
    <x:tableColumn id="6" name="Top-1 val"/>
    <x:tableColumn id="7" name="ECE val"/>
    <x:tableColumn id="8" name="p50 (ms)"/>
    <x:tableColumn id="9" name="p95 (ms)"/>
    <x:tableColumn id="10" name="p99 (ms)"/>
    <x:tableColumn id="11" name="Ảnh/s"/>
    <x:tableColumn id="12" name="Chi phí / I00"/>
    <x:tableColumn id="13" name="Temperature"/>
    <x:tableColumn id="14" name="Dtype"/>
    <x:tableColumn id="15" name="Điều kiệ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FinalResults" displayName="FinalResults" ref="A4:K14" headerRowCount="1" totalsRowCount="0" totalsRowShown="0">
  <x:tableColumns count="11">
    <x:tableColumn id="1" name="exp_id"/>
    <x:tableColumn id="2" name="Cấu hình"/>
    <x:tableColumn id="3" name="Seed"/>
    <x:tableColumn id="4" name="Macro-F1 val"/>
    <x:tableColumn id="5" name="Top-1 val"/>
    <x:tableColumn id="6" name="Macro-F1 test"/>
    <x:tableColumn id="7" name="Top-1 test"/>
    <x:tableColumn id="8" name="ECE test"/>
    <x:tableColumn id="9" name="Balanced acc test"/>
    <x:tableColumn id="10" name="Temperature"/>
    <x:tableColumn id="11" name="Suy luận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erClassResults" displayName="PerClassResults" ref="A4:J22" headerRowCount="1" totalsRowCount="0" totalsRowShown="0">
  <x:tableColumns count="10">
    <x:tableColumn id="1" name="exp_id"/>
    <x:tableColumn id="2" name="Lớp"/>
    <x:tableColumn id="3" name="Số ảnh test"/>
    <x:tableColumn id="4" name="Precision mean"/>
    <x:tableColumn id="5" name="Precision std"/>
    <x:tableColumn id="6" name="Recall mean"/>
    <x:tableColumn id="7" name="Recall std"/>
    <x:tableColumn id="8" name="F1 mean"/>
    <x:tableColumn id="9" name="F1 std"/>
    <x:tableColumn id="10" name="Delta F1 / baselin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LatencyResults" displayName="LatencyResults" ref="A4:M24" headerRowCount="1" totalsRowCount="0" totalsRowShown="0">
  <x:tableColumns count="13">
    <x:tableColumn id="1" name="Cấu hình"/>
    <x:tableColumn id="2" name="Nguồn phép đo"/>
    <x:tableColumn id="3" name="GPU"/>
    <x:tableColumn id="4" name="Dtype"/>
    <x:tableColumn id="5" name="Batch"/>
    <x:tableColumn id="6" name="Gộp BN"/>
    <x:tableColumn id="7" name="p50 (ms)"/>
    <x:tableColumn id="8" name="p95 (ms)"/>
    <x:tableColumn id="9" name="p99 (ms)"/>
    <x:tableColumn id="10" name="Ảnh/s"/>
    <x:tableColumn id="11" name="Warmup"/>
    <x:tableColumn id="12" name="Số lượt"/>
    <x:tableColumn id="13" name="Phạm vi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SummaryResults" displayName="SummaryResults" ref="A4:I14" headerRowCount="1" totalsRowCount="0" totalsRowShown="0">
  <x:tableColumns count="9">
    <x:tableColumn id="1" name="Hạng"/>
    <x:tableColumn id="2" name="exp_id"/>
    <x:tableColumn id="3" name="Giai đoạn"/>
    <x:tableColumn id="4" name="Cấu hình"/>
    <x:tableColumn id="5" name="Macro-F1 val"/>
    <x:tableColumn id="6" name="Top-1 val"/>
    <x:tableColumn id="7" name="p50 batch 1 (ms)"/>
    <x:tableColumn id="8" name="Số view"/>
    <x:tableColumn id="9" name="Chi phí / I0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8ca830fc54d411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eb58eb3672545b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45a7b9053c384f0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c1bd6a2cce184f9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cb841bf6761c429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2d39cee768044e8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0d56ac2f21c34355" /></Relationships>
</file>

<file path=xl/worksheets/sheet1.xml><?xml version="1.0" encoding="utf-8"?>
<x:worksheet xmlns:x="http://schemas.openxmlformats.org/spreadsheetml/2006/main">
  <x:sheetPr>
    <x:tabColor rgb="FF27475D"/>
  </x:sheetPr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14" hidden="0" customWidth="1"/>
    <x:col min="2" max="2" width="29" hidden="0" customWidth="1"/>
    <x:col min="3" max="3" width="37" hidden="0" customWidth="1"/>
    <x:col min="4" max="4" width="15" hidden="0" customWidth="1"/>
    <x:col min="5" max="5" width="15" hidden="0" customWidth="1"/>
    <x:col min="6" max="6" width="12" hidden="0" customWidth="1"/>
    <x:col min="7" max="7" width="11" hidden="0" customWidth="1"/>
    <x:col min="8" max="8" width="11" hidden="0" customWidth="1"/>
    <x:col min="9" max="9" width="17" hidden="0" customWidth="1"/>
    <x:col min="10" max="10" width="17" hidden="0" customWidth="1"/>
    <x:col min="11" max="11" width="20" hidden="0" customWidth="1"/>
    <x:col min="12" max="12" width="20" hidden="0" customWidth="1"/>
    <x:col min="13" max="13" width="45" hidden="0" customWidth="1"/>
  </x:cols>
  <x:sheetData>
    <x:row r="1">
      <x:c r="A1" s="2" t="str">
        <x:v>So sánh 5 backbone trên validation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</x:row>
    <x:row r="2" ht="32" customHeight="1">
      <x:c r="A2" s="5" t="str">
        <x:v>Nguồn: https://www.kaggle.com/code/ntthduong/k4-track4-day2-deepweeds-lab?scriptVersionId=355122553 . Backbone nhập từ version 4; latency bổ sung từ checkpoint, không chạy test.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</x:row>
    <x:row r="4" ht="42" customHeight="1">
      <x:c r="A4" s="10" t="str">
        <x:v>exp_id</x:v>
      </x:c>
      <x:c r="B4" s="10" t="str">
        <x:v>Backbone</x:v>
      </x:c>
      <x:c r="C4" s="10" t="str">
        <x:v>Tag trọng số</x:v>
      </x:c>
      <x:c r="D4" s="10" t="str">
        <x:v>Tham số (M)</x:v>
      </x:c>
      <x:c r="E4" s="10" t="str">
        <x:v>GMAC</x:v>
      </x:c>
      <x:c r="F4" s="10" t="str">
        <x:v>Ảnh (px)</x:v>
      </x:c>
      <x:c r="G4" s="10" t="str">
        <x:v>Epoch</x:v>
      </x:c>
      <x:c r="H4" s="10" t="str">
        <x:v>Seed</x:v>
      </x:c>
      <x:c r="I4" s="10" t="str">
        <x:v>Macro-F1 val</x:v>
      </x:c>
      <x:c r="J4" s="10" t="str">
        <x:v>Top-1 val</x:v>
      </x:c>
      <x:c r="K4" s="10" t="str">
        <x:v>Train/epoch (s)</x:v>
      </x:c>
      <x:c r="L4" s="10" t="str">
        <x:v>p50 batch 1 (ms)</x:v>
      </x:c>
      <x:c r="M4" s="10" t="str">
        <x:v>Ghi chú</x:v>
      </x:c>
    </x:row>
    <x:row r="5" ht="58" customHeight="1">
      <x:c r="A5" s="11" t="str">
        <x:v>B01</x:v>
      </x:c>
      <x:c r="B5" s="11" t="str">
        <x:v>resnet50</x:v>
      </x:c>
      <x:c r="C5" s="12" t="str">
        <x:v>resnet50.a1_in1k</x:v>
      </x:c>
      <x:c r="D5" s="13" t="n">
        <x:v>23.526473</x:v>
      </x:c>
      <x:c r="E5" s="13" t="n">
        <x:v>4.131713024</x:v>
      </x:c>
      <x:c r="F5" s="14" t="n">
        <x:v>224</x:v>
      </x:c>
      <x:c r="G5" s="14" t="n">
        <x:v>12</x:v>
      </x:c>
      <x:c r="H5" s="14" t="n">
        <x:v>0</x:v>
      </x:c>
      <x:c r="I5" s="13" t="n">
        <x:v>0.8096895429897342</x:v>
      </x:c>
      <x:c r="J5" s="13" t="n">
        <x:v>0.8628963153384748</x:v>
      </x:c>
      <x:c r="K5" s="13" t="n">
        <x:v>57.11514271983336</x:v>
      </x:c>
      <x:c r="L5" s="13" t="n">
        <x:v>5.544010499988872</x:v>
      </x:c>
      <x:c r="M5" s="12" t="str">
        <x:v>Nguồn backbone version 4; tái sử dụng nguyên checkpoint.</x:v>
      </x:c>
    </x:row>
    <x:row r="6" ht="58" customHeight="1">
      <x:c r="A6" s="15" t="str">
        <x:v>B02</x:v>
      </x:c>
      <x:c r="B6" s="15" t="str">
        <x:v>resnext50_32x4d</x:v>
      </x:c>
      <x:c r="C6" s="16" t="str">
        <x:v>resnext50_32x4d.a1h_in1k</x:v>
      </x:c>
      <x:c r="D6" s="17" t="n">
        <x:v>22.998345</x:v>
      </x:c>
      <x:c r="E6" s="17" t="n">
        <x:v>4.286154752</x:v>
      </x:c>
      <x:c r="F6" s="18" t="n">
        <x:v>224</x:v>
      </x:c>
      <x:c r="G6" s="18" t="n">
        <x:v>12</x:v>
      </x:c>
      <x:c r="H6" s="18" t="n">
        <x:v>0</x:v>
      </x:c>
      <x:c r="I6" s="17" t="n">
        <x:v>0.7958836358036612</x:v>
      </x:c>
      <x:c r="J6" s="17" t="n">
        <x:v>0.8369037417880606</x:v>
      </x:c>
      <x:c r="K6" s="17" t="n">
        <x:v>77.51723308841662</x:v>
      </x:c>
      <x:c r="L6" s="17" t="n">
        <x:v>7.287464000000909</x:v>
      </x:c>
      <x:c r="M6" s="16" t="str">
        <x:v>Nguồn backbone version 4; tái sử dụng nguyên checkpoint.</x:v>
      </x:c>
    </x:row>
    <x:row r="7" ht="58" customHeight="1">
      <x:c r="A7" s="23" t="str">
        <x:v>B03</x:v>
      </x:c>
      <x:c r="B7" s="23" t="str">
        <x:v>convnext_tiny</x:v>
      </x:c>
      <x:c r="C7" s="24" t="str">
        <x:v>convnext_tiny.in12k_ft_in1k</x:v>
      </x:c>
      <x:c r="D7" s="25" t="n">
        <x:v>27.827049</x:v>
      </x:c>
      <x:c r="E7" s="25" t="n">
        <x:v>4.454808576</x:v>
      </x:c>
      <x:c r="F7" s="26" t="n">
        <x:v>224</x:v>
      </x:c>
      <x:c r="G7" s="26" t="n">
        <x:v>12</x:v>
      </x:c>
      <x:c r="H7" s="26" t="n">
        <x:v>0</x:v>
      </x:c>
      <x:c r="I7" s="25" t="n">
        <x:v>0.9649114427775474</x:v>
      </x:c>
      <x:c r="J7" s="25" t="n">
        <x:v>0.9740074264495858</x:v>
      </x:c>
      <x:c r="K7" s="25" t="n">
        <x:v>69.91047063666663</x:v>
      </x:c>
      <x:c r="L7" s="25" t="n">
        <x:v>5.324631999883422</x:v>
      </x:c>
      <x:c r="M7" s="24" t="str">
        <x:v>Nguồn backbone version 4; tái sử dụng nguyên checkpoint.</x:v>
      </x:c>
    </x:row>
    <x:row r="8" ht="58" customHeight="1">
      <x:c r="A8" s="15" t="str">
        <x:v>B04</x:v>
      </x:c>
      <x:c r="B8" s="15" t="str">
        <x:v>deit_small_patch16_224</x:v>
      </x:c>
      <x:c r="C8" s="16" t="str">
        <x:v>deit_small_patch16_224.fb_in1k</x:v>
      </x:c>
      <x:c r="D8" s="17" t="n">
        <x:v>21.669129</x:v>
      </x:c>
      <x:c r="E8" s="17" t="n">
        <x:v>4.240838016</x:v>
      </x:c>
      <x:c r="F8" s="18" t="n">
        <x:v>224</x:v>
      </x:c>
      <x:c r="G8" s="18" t="n">
        <x:v>12</x:v>
      </x:c>
      <x:c r="H8" s="18" t="n">
        <x:v>0</x:v>
      </x:c>
      <x:c r="I8" s="17" t="n">
        <x:v>0.953734687865577</x:v>
      </x:c>
      <x:c r="J8" s="17" t="n">
        <x:v>0.9674378748928878</x:v>
      </x:c>
      <x:c r="K8" s="17" t="n">
        <x:v>48.83066866333335</x:v>
      </x:c>
      <x:c r="L8" s="17" t="n">
        <x:v>4.547677000005024</x:v>
      </x:c>
      <x:c r="M8" s="16" t="str">
        <x:v>Nguồn backbone version 4; tái sử dụng nguyên checkpoint.</x:v>
      </x:c>
    </x:row>
    <x:row r="9" ht="58" customHeight="1">
      <x:c r="A9" s="11" t="str">
        <x:v>B05</x:v>
      </x:c>
      <x:c r="B9" s="11" t="str">
        <x:v>efficientnet_b0</x:v>
      </x:c>
      <x:c r="C9" s="12" t="str">
        <x:v>efficientnet_b0.ra_in1k</x:v>
      </x:c>
      <x:c r="D9" s="13" t="n">
        <x:v>4.019077</x:v>
      </x:c>
      <x:c r="E9" s="13" t="n">
        <x:v>0.384610272</x:v>
      </x:c>
      <x:c r="F9" s="14" t="n">
        <x:v>224</x:v>
      </x:c>
      <x:c r="G9" s="14" t="n">
        <x:v>12</x:v>
      </x:c>
      <x:c r="H9" s="14" t="n">
        <x:v>0</x:v>
      </x:c>
      <x:c r="I9" s="13" t="n">
        <x:v>0.7916780071586493</x:v>
      </x:c>
      <x:c r="J9" s="13" t="n">
        <x:v>0.8434732933447586</x:v>
      </x:c>
      <x:c r="K9" s="13" t="n">
        <x:v>35.966625005750075</x:v>
      </x:c>
      <x:c r="L9" s="13" t="n">
        <x:v>7.567908999931205</x:v>
      </x:c>
      <x:c r="M9" s="12" t="str">
        <x:v>Nguồn backbone version 4; tái sử dụng nguyên checkpoint.</x:v>
      </x:c>
    </x:row>
    <x:row r="10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</x:row>
    <x:row r="1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</x:row>
  </x:sheetData>
  <x:mergeCells>
    <x:mergeCell ref="A1:M1"/>
    <x:mergeCell ref="A2:M2"/>
  </x:mergeCells>
  <x:pageMargins left="0.7" right="0.7" top="0.75" bottom="0.75" header="0.3" footer="0.3"/>
  <x:tableParts count="1">
    <x:tablePart xmlns:r="http://schemas.openxmlformats.org/officeDocument/2006/relationships" r:id="R88ca830fc54d4116"/>
  </x:tableParts>
</x:worksheet>
</file>

<file path=xl/worksheets/sheet2.xml><?xml version="1.0" encoding="utf-8"?>
<x:worksheet xmlns:x="http://schemas.openxmlformats.org/spreadsheetml/2006/main">
  <x:sheetPr>
    <x:tabColor rgb="FF27475D"/>
  </x:sheetPr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3" hidden="0" customWidth="1"/>
    <x:col min="2" max="2" width="23" hidden="0" customWidth="1"/>
    <x:col min="3" max="3" width="12" hidden="0" customWidth="1"/>
    <x:col min="4" max="4" width="46" hidden="0" customWidth="1"/>
    <x:col min="5" max="5" width="10" hidden="0" customWidth="1"/>
    <x:col min="6" max="6" width="17" hidden="0" customWidth="1"/>
    <x:col min="7" max="7" width="17" hidden="0" customWidth="1"/>
    <x:col min="8" max="8" width="18" hidden="0" customWidth="1"/>
    <x:col min="9" max="9" width="21" hidden="0" customWidth="1"/>
    <x:col min="10" max="10" width="20" hidden="0" customWidth="1"/>
    <x:col min="11" max="11" width="17" hidden="0" customWidth="1"/>
    <x:col min="12" max="12" width="20" hidden="0" customWidth="1"/>
    <x:col min="13" max="13" width="42" hidden="0" customWidth="1"/>
  </x:cols>
  <x:sheetData>
    <x:row r="1">
      <x:c r="A1" s="2" t="str">
        <x:v>Ablation có kiểm soát trên ConvNeXt-Tiny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</x:row>
    <x:row r="2" ht="32" customHeight="1">
      <x:c r="A2" s="5" t="str">
        <x:v>Chỉ số 0–1; std mẫu (ddof=1). Dữ liệu lấy từ version 5; nguồn và provenance ghi ở Backbones, README và config.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</x:row>
    <x:row r="4" ht="42" customHeight="1">
      <x:c r="A4" s="10" t="str">
        <x:v>exp_id</x:v>
      </x:c>
      <x:c r="B4" s="10" t="str">
        <x:v>Backbone</x:v>
      </x:c>
      <x:c r="C4" s="10" t="str">
        <x:v>Trục</x:v>
      </x:c>
      <x:c r="D4" s="10" t="str">
        <x:v>Khác T00</x:v>
      </x:c>
      <x:c r="E4" s="10" t="str">
        <x:v>Seed</x:v>
      </x:c>
      <x:c r="F4" s="10" t="str">
        <x:v>Macro-F1 val</x:v>
      </x:c>
      <x:c r="G4" s="10" t="str">
        <x:v>Top-1 val</x:v>
      </x:c>
      <x:c r="H4" s="10" t="str">
        <x:v>Delta F1 / T00</x:v>
      </x:c>
      <x:c r="I4" s="10" t="str">
        <x:v>F1 Chinee apple</x:v>
      </x:c>
      <x:c r="J4" s="10" t="str">
        <x:v>F1 Snake weed</x:v>
      </x:c>
      <x:c r="K4" s="10" t="str">
        <x:v>F1 Negative</x:v>
      </x:c>
      <x:c r="L4" s="10" t="str">
        <x:v>Train/epoch (s)</x:v>
      </x:c>
      <x:c r="M4" s="10" t="str">
        <x:v>Ghi chú</x:v>
      </x:c>
    </x:row>
    <x:row r="5" ht="45" customHeight="1">
      <x:c r="A5" s="11" t="str">
        <x:v>T00</x:v>
      </x:c>
      <x:c r="B5" s="11" t="str">
        <x:v>convnext_tiny</x:v>
      </x:c>
      <x:c r="C5" s="11" t="str">
        <x:v>Mốc</x:v>
      </x:c>
      <x:c r="D5" s="12" t="str">
        <x:v>Finetune; crop + flip; CE; không EMA</x:v>
      </x:c>
      <x:c r="E5" s="14" t="n">
        <x:v>0</x:v>
      </x:c>
      <x:c r="F5" s="13" t="n">
        <x:v>0.9649114427775474</x:v>
      </x:c>
      <x:c r="G5" s="13" t="n">
        <x:v>0.9740074264495858</x:v>
      </x:c>
      <x:c r="H5" s="13" t="n">
        <x:f>F5-$F$5</x:f>
        <x:v>0</x:v>
      </x:c>
      <x:c r="I5" s="13" t="n">
        <x:v>0.9359823399558499</x:v>
      </x:c>
      <x:c r="J5" s="13" t="n">
        <x:v>0.9287469287469287</x:v>
      </x:c>
      <x:c r="K5" s="13" t="n">
        <x:v>0.9851075565361279</x:v>
      </x:c>
      <x:c r="L5" s="13" t="n">
        <x:v>69.91047063666663</x:v>
      </x:c>
      <x:c r="M5" s="12" t="str">
        <x:v>Tái sử dụng B03 seed 0</x:v>
      </x:c>
    </x:row>
    <x:row r="6" ht="45" customHeight="1">
      <x:c r="A6" s="15" t="str">
        <x:v>T01_scratch</x:v>
      </x:c>
      <x:c r="B6" s="15" t="str">
        <x:v>convnext_tiny</x:v>
      </x:c>
      <x:c r="C6" s="15" t="str">
        <x:v>A</x:v>
      </x:c>
      <x:c r="D6" s="16" t="str">
        <x:v>Khởi tạo từ đầu</x:v>
      </x:c>
      <x:c r="E6" s="18" t="n">
        <x:v>0</x:v>
      </x:c>
      <x:c r="F6" s="17" t="n">
        <x:v>0.2952892968748026</x:v>
      </x:c>
      <x:c r="G6" s="17" t="n">
        <x:v>0.5518423307626392</x:v>
      </x:c>
      <x:c r="H6" s="17" t="n">
        <x:f>F6-$F$5</x:f>
        <x:v>-0.6696221459027447</x:v>
      </x:c>
      <x:c r="I6" s="17" t="n">
        <x:v>0.24324324324324323</x:v>
      </x:c>
      <x:c r="J6" s="17" t="n">
        <x:v>0.16033755274261605</x:v>
      </x:c>
      <x:c r="K6" s="17" t="n">
        <x:v>0.7132075471698113</x:v>
      </x:c>
      <x:c r="L6" s="17" t="n">
        <x:v>82.22947092883335</x:v>
      </x:c>
      <x:c r="M6" s="16" t="str">
        <x:v>Sàng lọc 1 seed; chưa đo std riêng.</x:v>
      </x:c>
    </x:row>
    <x:row r="7" ht="45" customHeight="1">
      <x:c r="A7" s="11" t="str">
        <x:v>T02_frozen</x:v>
      </x:c>
      <x:c r="B7" s="11" t="str">
        <x:v>convnext_tiny</x:v>
      </x:c>
      <x:c r="C7" s="11" t="str">
        <x:v>A</x:v>
      </x:c>
      <x:c r="D7" s="12" t="str">
        <x:v>Đóng băng backbone, chỉ train head</x:v>
      </x:c>
      <x:c r="E7" s="14" t="n">
        <x:v>0</x:v>
      </x:c>
      <x:c r="F7" s="13" t="n">
        <x:v>0.8505825986132742</x:v>
      </x:c>
      <x:c r="G7" s="13" t="n">
        <x:v>0.8811768066266781</x:v>
      </x:c>
      <x:c r="H7" s="13" t="n">
        <x:f>F7-$F$5</x:f>
        <x:v>-0.11432884416427314</x:v>
      </x:c>
      <x:c r="I7" s="13" t="n">
        <x:v>0.8294930875576036</x:v>
      </x:c>
      <x:c r="J7" s="13" t="n">
        <x:v>0.7897435897435897</x:v>
      </x:c>
      <x:c r="K7" s="13" t="n">
        <x:v>0.913917940466613</x:v>
      </x:c>
      <x:c r="L7" s="13" t="n">
        <x:v>43.24605209683335</x:v>
      </x:c>
      <x:c r="M7" s="12" t="str">
        <x:v>Sàng lọc 1 seed; chưa đo std riêng.</x:v>
      </x:c>
    </x:row>
    <x:row r="8" ht="45" customHeight="1">
      <x:c r="A8" s="15" t="str">
        <x:v>T03_color</x:v>
      </x:c>
      <x:c r="B8" s="15" t="str">
        <x:v>convnext_tiny</x:v>
      </x:c>
      <x:c r="C8" s="15" t="str">
        <x:v>B</x:v>
      </x:c>
      <x:c r="D8" s="16" t="str">
        <x:v>Thêm ColorJitter (0.2, 0.2, 0.2, 0.05)</x:v>
      </x:c>
      <x:c r="E8" s="18" t="n">
        <x:v>0</x:v>
      </x:c>
      <x:c r="F8" s="17" t="n">
        <x:v>0.9683336741213994</x:v>
      </x:c>
      <x:c r="G8" s="17" t="n">
        <x:v>0.976006855184233</x:v>
      </x:c>
      <x:c r="H8" s="17" t="n">
        <x:f>F8-$F$5</x:f>
        <x:v>0.0034222313438520002</x:v>
      </x:c>
      <x:c r="I8" s="17" t="n">
        <x:v>0.9473684210526316</x:v>
      </x:c>
      <x:c r="J8" s="17" t="n">
        <x:v>0.9343065693430657</x:v>
      </x:c>
      <x:c r="K8" s="17" t="n">
        <x:v>0.9852539595849262</x:v>
      </x:c>
      <x:c r="L8" s="17" t="n">
        <x:v>76.299463629</x:v>
      </x:c>
      <x:c r="M8" s="16" t="str">
        <x:v>Sàng lọc 1 seed; chưa đo std riêng.</x:v>
      </x:c>
    </x:row>
    <x:row r="9" ht="45" customHeight="1">
      <x:c r="A9" s="11" t="str">
        <x:v>T04_cutmix</x:v>
      </x:c>
      <x:c r="B9" s="11" t="str">
        <x:v>convnext_tiny</x:v>
      </x:c>
      <x:c r="C9" s="11" t="str">
        <x:v>B</x:v>
      </x:c>
      <x:c r="D9" s="12" t="str">
        <x:v>CutMix alpha=1</x:v>
      </x:c>
      <x:c r="E9" s="14" t="n">
        <x:v>0</x:v>
      </x:c>
      <x:c r="F9" s="13" t="n">
        <x:v>0.9670663056647538</x:v>
      </x:c>
      <x:c r="G9" s="13" t="n">
        <x:v>0.9740074264495858</x:v>
      </x:c>
      <x:c r="H9" s="13" t="n">
        <x:f>F9-$F$5</x:f>
        <x:v>0.0021548628872064546</x:v>
      </x:c>
      <x:c r="I9" s="13" t="n">
        <x:v>0.9549549549549549</x:v>
      </x:c>
      <x:c r="J9" s="13" t="n">
        <x:v>0.9238095238095239</x:v>
      </x:c>
      <x:c r="K9" s="13" t="n">
        <x:v>0.9825436408977556</x:v>
      </x:c>
      <x:c r="L9" s="13" t="n">
        <x:v>69.21918449266666</x:v>
      </x:c>
      <x:c r="M9" s="12" t="str">
        <x:v>Sàng lọc 1 seed; chưa đo std riêng.</x:v>
      </x:c>
    </x:row>
    <x:row r="10" ht="45" customHeight="1">
      <x:c r="A10" s="15" t="str">
        <x:v>T05_mixup</x:v>
      </x:c>
      <x:c r="B10" s="15" t="str">
        <x:v>convnext_tiny</x:v>
      </x:c>
      <x:c r="C10" s="15" t="str">
        <x:v>B</x:v>
      </x:c>
      <x:c r="D10" s="16" t="str">
        <x:v>Mixup alpha=1</x:v>
      </x:c>
      <x:c r="E10" s="18" t="n">
        <x:v>0</x:v>
      </x:c>
      <x:c r="F10" s="17" t="n">
        <x:v>0.9694901764483236</x:v>
      </x:c>
      <x:c r="G10" s="17" t="n">
        <x:v>0.9768637532133676</x:v>
      </x:c>
      <x:c r="H10" s="17" t="n">
        <x:f>F10-$F$5</x:f>
        <x:v>0.004578733670776214</x:v>
      </x:c>
      <x:c r="I10" s="17" t="n">
        <x:v>0.9454545454545454</x:v>
      </x:c>
      <x:c r="J10" s="17" t="n">
        <x:v>0.9276807980049875</x:v>
      </x:c>
      <x:c r="K10" s="17" t="n">
        <x:v>0.9855230811253756</x:v>
      </x:c>
      <x:c r="L10" s="17" t="n">
        <x:v>69.69022420874983</x:v>
      </x:c>
      <x:c r="M10" s="16" t="str">
        <x:v>Sàng lọc 1 seed; chưa đo std riêng.</x:v>
      </x:c>
    </x:row>
    <x:row r="11" ht="45" customHeight="1">
      <x:c r="A11" s="23" t="str">
        <x:v>T06_ls</x:v>
      </x:c>
      <x:c r="B11" s="23" t="str">
        <x:v>convnext_tiny</x:v>
      </x:c>
      <x:c r="C11" s="23" t="str">
        <x:v>C</x:v>
      </x:c>
      <x:c r="D11" s="24" t="str">
        <x:v>Label smoothing epsilon=0.1</x:v>
      </x:c>
      <x:c r="E11" s="26" t="n">
        <x:v>0</x:v>
      </x:c>
      <x:c r="F11" s="25" t="n">
        <x:v>0.971209485039089</x:v>
      </x:c>
      <x:c r="G11" s="25" t="n">
        <x:v>0.9785775492716366</x:v>
      </x:c>
      <x:c r="H11" s="25" t="n">
        <x:f>F11-$F$5</x:f>
        <x:v>0.006298042261541625</x:v>
      </x:c>
      <x:c r="I11" s="25" t="n">
        <x:v>0.9387755102040817</x:v>
      </x:c>
      <x:c r="J11" s="25" t="n">
        <x:v>0.9310344827586207</x:v>
      </x:c>
      <x:c r="K11" s="25" t="n">
        <x:v>0.9876135425268374</x:v>
      </x:c>
      <x:c r="L11" s="25" t="n">
        <x:v>68.7327196293332</x:v>
      </x:c>
      <x:c r="M11" s="24" t="str">
        <x:v>Sàng lọc 1 seed; chưa đo std riêng.</x:v>
      </x:c>
    </x:row>
    <x:row r="12" ht="45" customHeight="1">
      <x:c r="A12" s="15" t="str">
        <x:v>T07_focal</x:v>
      </x:c>
      <x:c r="B12" s="15" t="str">
        <x:v>convnext_tiny</x:v>
      </x:c>
      <x:c r="C12" s="15" t="str">
        <x:v>C</x:v>
      </x:c>
      <x:c r="D12" s="16" t="str">
        <x:v>Focal gamma=2</x:v>
      </x:c>
      <x:c r="E12" s="18" t="n">
        <x:v>0</x:v>
      </x:c>
      <x:c r="F12" s="17" t="n">
        <x:v>0.9690111793152424</x:v>
      </x:c>
      <x:c r="G12" s="17" t="n">
        <x:v>0.9765781205369894</x:v>
      </x:c>
      <x:c r="H12" s="17" t="n">
        <x:f>F12-$F$5</x:f>
        <x:v>0.00409973653769502</x:v>
      </x:c>
      <x:c r="I12" s="17" t="n">
        <x:v>0.9536423841059603</x:v>
      </x:c>
      <x:c r="J12" s="17" t="n">
        <x:v>0.9391727493917276</x:v>
      </x:c>
      <x:c r="K12" s="17" t="n">
        <x:v>0.985722130697419</x:v>
      </x:c>
      <x:c r="L12" s="17" t="n">
        <x:v>67.64011131941668</x:v>
      </x:c>
      <x:c r="M12" s="16" t="str">
        <x:v>Sàng lọc 1 seed; chưa đo std riêng.</x:v>
      </x:c>
    </x:row>
    <x:row r="13" ht="45" customHeight="1">
      <x:c r="A13" s="11" t="str">
        <x:v>T08_weighted</x:v>
      </x:c>
      <x:c r="B13" s="11" t="str">
        <x:v>convnext_tiny</x:v>
      </x:c>
      <x:c r="C13" s="11" t="str">
        <x:v>C</x:v>
      </x:c>
      <x:c r="D13" s="12" t="str">
        <x:v>CE trọng số inverse-frequency</x:v>
      </x:c>
      <x:c r="E13" s="14" t="n">
        <x:v>0</x:v>
      </x:c>
      <x:c r="F13" s="13" t="n">
        <x:v>0.9631844087600768</x:v>
      </x:c>
      <x:c r="G13" s="13" t="n">
        <x:v>0.9705798343330476</x:v>
      </x:c>
      <x:c r="H13" s="13" t="n">
        <x:f>F13-$F$5</x:f>
        <x:v>-0.0017270340174705412</x:v>
      </x:c>
      <x:c r="I13" s="13" t="n">
        <x:v>0.9461883408071748</x:v>
      </x:c>
      <x:c r="J13" s="13" t="n">
        <x:v>0.9150943396226415</x:v>
      </x:c>
      <x:c r="K13" s="13" t="n">
        <x:v>0.9800000000000001</x:v>
      </x:c>
      <x:c r="L13" s="13" t="n">
        <x:v>67.93069345291678</x:v>
      </x:c>
      <x:c r="M13" s="12" t="str">
        <x:v>Sàng lọc 1 seed; chưa đo std riêng.</x:v>
      </x:c>
    </x:row>
    <x:row r="14" ht="45" customHeight="1">
      <x:c r="A14" s="15" t="str">
        <x:v>T09_ema</x:v>
      </x:c>
      <x:c r="B14" s="15" t="str">
        <x:v>convnext_tiny</x:v>
      </x:c>
      <x:c r="C14" s="15" t="str">
        <x:v>F</x:v>
      </x:c>
      <x:c r="D14" s="16" t="str">
        <x:v>EMA decay=0.999</x:v>
      </x:c>
      <x:c r="E14" s="18" t="n">
        <x:v>0</x:v>
      </x:c>
      <x:c r="F14" s="17" t="n">
        <x:v>0.967071669240107</x:v>
      </x:c>
      <x:c r="G14" s="17" t="n">
        <x:v>0.9751499571550986</x:v>
      </x:c>
      <x:c r="H14" s="17" t="n">
        <x:f>F14-$F$5</x:f>
        <x:v>0.0021602264625596446</x:v>
      </x:c>
      <x:c r="I14" s="17" t="n">
        <x:v>0.9269406392694064</x:v>
      </x:c>
      <x:c r="J14" s="17" t="n">
        <x:v>0.9249394673123487</x:v>
      </x:c>
      <x:c r="K14" s="17" t="n">
        <x:v>0.9849438817410346</x:v>
      </x:c>
      <x:c r="L14" s="17" t="n">
        <x:v>68.68312701258326</x:v>
      </x:c>
      <x:c r="M14" s="16" t="str">
        <x:v>Sàng lọc 1 seed; chưa đo std riêng.</x:v>
      </x:c>
    </x:row>
    <x:row r="15" ht="45" customHeight="1">
      <x:c r="A15" s="11" t="str">
        <x:v>T10_combined</x:v>
      </x:c>
      <x:c r="B15" s="11" t="str">
        <x:v>convnext_tiny</x:v>
      </x:c>
      <x:c r="C15" s="11" t="str">
        <x:v>B+C+F</x:v>
      </x:c>
      <x:c r="D15" s="12" t="str">
        <x:v>ColorJitter + Mixup + smoothing + EMA</x:v>
      </x:c>
      <x:c r="E15" s="14" t="n">
        <x:v>0</x:v>
      </x:c>
      <x:c r="F15" s="13" t="n">
        <x:v>0.9654754210657042</x:v>
      </x:c>
      <x:c r="G15" s="13" t="n">
        <x:v>0.9717223650385604</x:v>
      </x:c>
      <x:c r="H15" s="13" t="n">
        <x:f>F15-$F$5</x:f>
        <x:v>0.0005639782881567967</x:v>
      </x:c>
      <x:c r="I15" s="13" t="n">
        <x:v>0.9324009324009324</x:v>
      </x:c>
      <x:c r="J15" s="13" t="n">
        <x:v>0.9187817258883249</x:v>
      </x:c>
      <x:c r="K15" s="13" t="n">
        <x:v>0.9788503253796096</x:v>
      </x:c>
      <x:c r="L15" s="13" t="n">
        <x:v>74.98637858941674</x:v>
      </x:c>
      <x:c r="M15" s="12" t="str">
        <x:v>Sàng lọc 1 seed; chưa đo std riêng.</x:v>
      </x:c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</x:row>
  </x:sheetData>
  <x:mergeCells>
    <x:mergeCell ref="A1:M1"/>
    <x:mergeCell ref="A2:M2"/>
  </x:mergeCells>
  <x:pageMargins left="0.7" right="0.7" top="0.75" bottom="0.75" header="0.3" footer="0.3"/>
  <x:tableParts count="1">
    <x:tablePart xmlns:r="http://schemas.openxmlformats.org/officeDocument/2006/relationships" r:id="Raeb58eb3672545b5"/>
  </x:tableParts>
</x:worksheet>
</file>

<file path=xl/worksheets/sheet3.xml><?xml version="1.0" encoding="utf-8"?>
<x:worksheet xmlns:x="http://schemas.openxmlformats.org/spreadsheetml/2006/main">
  <x:sheetPr>
    <x:tabColor rgb="FF27475D"/>
  </x:sheetPr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3" hidden="0" customWidth="1"/>
    <x:col min="2" max="2" width="35" hidden="0" customWidth="1"/>
    <x:col min="3" max="3" width="36" hidden="0" customWidth="1"/>
    <x:col min="4" max="4" width="10" hidden="0" customWidth="1"/>
    <x:col min="5" max="5" width="17" hidden="0" customWidth="1"/>
    <x:col min="6" max="6" width="17" hidden="0" customWidth="1"/>
    <x:col min="7" max="7" width="17" hidden="0" customWidth="1"/>
    <x:col min="8" max="8" width="15" hidden="0" customWidth="1"/>
    <x:col min="9" max="9" width="15" hidden="0" customWidth="1"/>
    <x:col min="10" max="10" width="15" hidden="0" customWidth="1"/>
    <x:col min="11" max="11" width="18" hidden="0" customWidth="1"/>
    <x:col min="12" max="12" width="20" hidden="0" customWidth="1"/>
    <x:col min="13" max="13" width="18" hidden="0" customWidth="1"/>
    <x:col min="14" max="14" width="13" hidden="0" customWidth="1"/>
    <x:col min="15" max="15" width="47" hidden="0" customWidth="1"/>
  </x:cols>
  <x:sheetData>
    <x:row r="1">
      <x:c r="A1" s="2" t="str">
        <x:v>Đánh đổi chất lượng và độ trễ trên validation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</x:row>
    <x:row r="2" ht="32" customHeight="1">
      <x:c r="A2" s="5" t="str">
        <x:v>Batch 1, Tesla T4, 224 px, warmup 10, 100 lượt. Chi phí = p50 / p50 I00; ảnh/s = batch × 1000 / p50.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</x:row>
    <x:row r="4" ht="42" customHeight="1">
      <x:c r="A4" s="10" t="str">
        <x:v>exp_id</x:v>
      </x:c>
      <x:c r="B4" s="10" t="str">
        <x:v>Phương pháp</x:v>
      </x:c>
      <x:c r="C4" s="10" t="str">
        <x:v>Checkpoint</x:v>
      </x:c>
      <x:c r="D4" s="10" t="str">
        <x:v>K</x:v>
      </x:c>
      <x:c r="E4" s="10" t="str">
        <x:v>Macro-F1 val</x:v>
      </x:c>
      <x:c r="F4" s="10" t="str">
        <x:v>Top-1 val</x:v>
      </x:c>
      <x:c r="G4" s="10" t="str">
        <x:v>ECE val</x:v>
      </x:c>
      <x:c r="H4" s="10" t="str">
        <x:v>p50 (ms)</x:v>
      </x:c>
      <x:c r="I4" s="10" t="str">
        <x:v>p95 (ms)</x:v>
      </x:c>
      <x:c r="J4" s="10" t="str">
        <x:v>p99 (ms)</x:v>
      </x:c>
      <x:c r="K4" s="10" t="str">
        <x:v>Ảnh/s</x:v>
      </x:c>
      <x:c r="L4" s="10" t="str">
        <x:v>Chi phí / I00</x:v>
      </x:c>
      <x:c r="M4" s="10" t="str">
        <x:v>Temperature</x:v>
      </x:c>
      <x:c r="N4" s="10" t="str">
        <x:v>Dtype</x:v>
      </x:c>
      <x:c r="O4" s="10" t="str">
        <x:v>Điều kiện</x:v>
      </x:c>
    </x:row>
    <x:row r="5" ht="53" customHeight="1">
      <x:c r="A5" s="11" t="str">
        <x:v>I00</x:v>
      </x:c>
      <x:c r="B5" s="12" t="str">
        <x:v>1-view FP32</x:v>
      </x:c>
      <x:c r="C5" s="12" t="str">
        <x:v>runs/T06_ls/seed0/best.pt</x:v>
      </x:c>
      <x:c r="D5" s="14" t="n">
        <x:v>1</x:v>
      </x:c>
      <x:c r="E5" s="13" t="n">
        <x:v>0.971209485039089</x:v>
      </x:c>
      <x:c r="F5" s="13" t="n">
        <x:v>0.9785775492716366</x:v>
      </x:c>
      <x:c r="G5" s="13" t="n">
        <x:v>0.0845640625238808</x:v>
      </x:c>
      <x:c r="H5" s="13" t="n">
        <x:v>5.735270500736078</x:v>
      </x:c>
      <x:c r="I5" s="13" t="n">
        <x:v>8.626604649816727</x:v>
      </x:c>
      <x:c r="J5" s="13" t="n">
        <x:v>8.672549061011525</x:v>
      </x:c>
      <x:c r="K5" s="13" t="n">
        <x:v>174.35969234086826</x:v>
      </x:c>
      <x:c r="L5" s="13" t="n">
        <x:f>H5/$H$5</x:f>
        <x:v>1</x:v>
      </x:c>
      <x:c r="M5" s="13" t="n">
        <x:v>1</x:v>
      </x:c>
      <x:c r="N5" s="11" t="str">
        <x:v>fp32</x:v>
      </x:c>
      <x:c r="O5" s="12" t="str">
        <x:v>Forward; chưa tính preprocessing và aggregation</x:v>
      </x:c>
    </x:row>
    <x:row r="6" ht="53" customHeight="1">
      <x:c r="A6" s="23" t="str">
        <x:v>I01_hflip_prob</x:v>
      </x:c>
      <x:c r="B6" s="24" t="str">
        <x:v>Hflip, trung bình xác suất</x:v>
      </x:c>
      <x:c r="C6" s="24" t="str">
        <x:v>runs/T06_ls/seed0/best.pt</x:v>
      </x:c>
      <x:c r="D6" s="26" t="n">
        <x:v>2</x:v>
      </x:c>
      <x:c r="E6" s="25" t="n">
        <x:v>0.9727395001314864</x:v>
      </x:c>
      <x:c r="F6" s="25" t="n">
        <x:v>0.9797200799771494</x:v>
      </x:c>
      <x:c r="G6" s="25" t="n">
        <x:v>0.0851703851836017</x:v>
      </x:c>
      <x:c r="H6" s="25" t="n">
        <x:v>11.7667660006191</x:v>
      </x:c>
      <x:c r="I6" s="25" t="n">
        <x:v>14.51899485000467</x:v>
      </x:c>
      <x:c r="J6" s="25" t="n">
        <x:v>18.03803698856428</x:v>
      </x:c>
      <x:c r="K6" s="25" t="n">
        <x:v>84.98511825147077</x:v>
      </x:c>
      <x:c r="L6" s="25" t="n">
        <x:f>H6/$H$5</x:f>
        <x:v>2.051649699714935</x:v>
      </x:c>
      <x:c r="M6" s="25" t="n">
        <x:v>1</x:v>
      </x:c>
      <x:c r="N6" s="23" t="str">
        <x:v>fp32</x:v>
      </x:c>
      <x:c r="O6" s="24" t="str">
        <x:v>Forward; chưa tính preprocessing và aggregation</x:v>
      </x:c>
    </x:row>
    <x:row r="7" ht="53" customHeight="1">
      <x:c r="A7" s="11" t="str">
        <x:v>I02_hflip_logit</x:v>
      </x:c>
      <x:c r="B7" s="12" t="str">
        <x:v>Hflip, trung bình logits</x:v>
      </x:c>
      <x:c r="C7" s="12" t="str">
        <x:v>runs/T06_ls/seed0/best.pt</x:v>
      </x:c>
      <x:c r="D7" s="14" t="n">
        <x:v>2</x:v>
      </x:c>
      <x:c r="E7" s="13" t="n">
        <x:v>0.9724424950549108</x:v>
      </x:c>
      <x:c r="F7" s="13" t="n">
        <x:v>0.9794344473007712</x:v>
      </x:c>
      <x:c r="G7" s="13" t="n">
        <x:v>0.0842544429723378</x:v>
      </x:c>
      <x:c r="H7" s="13" t="n">
        <x:v>11.57935199989879</x:v>
      </x:c>
      <x:c r="I7" s="13" t="n">
        <x:v>12.22641434869729</x:v>
      </x:c>
      <x:c r="J7" s="13" t="n">
        <x:v>12.589455938650648</x:v>
      </x:c>
      <x:c r="K7" s="13" t="n">
        <x:v>86.36061845332455</x:v>
      </x:c>
      <x:c r="L7" s="13" t="n">
        <x:f>H7/$H$5</x:f>
        <x:v>2.0189722522089704</x:v>
      </x:c>
      <x:c r="M7" s="13" t="n">
        <x:v>1</x:v>
      </x:c>
      <x:c r="N7" s="11" t="str">
        <x:v>fp32</x:v>
      </x:c>
      <x:c r="O7" s="12" t="str">
        <x:v>Forward; chưa tính preprocessing và aggregation</x:v>
      </x:c>
    </x:row>
    <x:row r="8" ht="53" customHeight="1">
      <x:c r="A8" s="15" t="str">
        <x:v>I03_temperature</x:v>
      </x:c>
      <x:c r="B8" s="16" t="str">
        <x:v>1-view + temperature</x:v>
      </x:c>
      <x:c r="C8" s="16" t="str">
        <x:v>runs/T06_ls/seed0/best.pt</x:v>
      </x:c>
      <x:c r="D8" s="18" t="n">
        <x:v>1</x:v>
      </x:c>
      <x:c r="E8" s="17" t="n">
        <x:v>0.971209485039089</x:v>
      </x:c>
      <x:c r="F8" s="17" t="n">
        <x:v>0.9785775492716366</x:v>
      </x:c>
      <x:c r="G8" s="17" t="n">
        <x:v>0.0055321979499431</x:v>
      </x:c>
      <x:c r="H8" s="17" t="n">
        <x:v>5.759807499998715</x:v>
      </x:c>
      <x:c r="I8" s="17" t="n">
        <x:v>6.310158299311297</x:v>
      </x:c>
      <x:c r="J8" s="17" t="n">
        <x:v>6.445217858654361</x:v>
      </x:c>
      <x:c r="K8" s="17" t="n">
        <x:v>173.61691341250955</x:v>
      </x:c>
      <x:c r="L8" s="17" t="n">
        <x:f>H8/$H$5</x:f>
        <x:v>1.0042782636424015</x:v>
      </x:c>
      <x:c r="M8" s="17" t="n">
        <x:v>0.6327809751267637</x:v>
      </x:c>
      <x:c r="N8" s="15" t="str">
        <x:v>fp32</x:v>
      </x:c>
      <x:c r="O8" s="16" t="str">
        <x:v>Forward; chưa tính preprocessing và aggregation</x:v>
      </x:c>
    </x:row>
    <x:row r="9" ht="53" customHeight="1">
      <x:c r="A9" s="11" t="str">
        <x:v>I04_fused</x:v>
      </x:c>
      <x:c r="B9" s="12" t="str">
        <x:v>Conv-BN fusion (no-op)</x:v>
      </x:c>
      <x:c r="C9" s="12" t="str">
        <x:v>runs/T06_ls/seed0/best.pt</x:v>
      </x:c>
      <x:c r="D9" s="14" t="n">
        <x:v>1</x:v>
      </x:c>
      <x:c r="E9" s="13" t="n">
        <x:v>0.971209485039089</x:v>
      </x:c>
      <x:c r="F9" s="13" t="n">
        <x:v>0.9785775492716366</x:v>
      </x:c>
      <x:c r="G9" s="13" t="n">
        <x:v>0.0845640625238808</x:v>
      </x:c>
      <x:c r="H9" s="13" t="n">
        <x:v>5.8953879997716285</x:v>
      </x:c>
      <x:c r="I9" s="13" t="n">
        <x:v>6.418053000197688</x:v>
      </x:c>
      <x:c r="J9" s="13" t="n">
        <x:v>6.618099488860027</x:v>
      </x:c>
      <x:c r="K9" s="13" t="n">
        <x:v>169.6241197422014</x:v>
      </x:c>
      <x:c r="L9" s="13" t="n">
        <x:f>H9/$H$5</x:f>
        <x:v>1.0279180378702277</x:v>
      </x:c>
      <x:c r="M9" s="13" t="n">
        <x:v>1</x:v>
      </x:c>
      <x:c r="N9" s="11" t="str">
        <x:v>fp32</x:v>
      </x:c>
      <x:c r="O9" s="12" t="str">
        <x:v>ConvNeXt LayerNorm: fusion không thay đổi model</x:v>
      </x:c>
    </x:row>
    <x:row r="10" ht="53" customHeight="1">
      <x:c r="A10" s="15" t="str">
        <x:v>I05_fp16</x:v>
      </x:c>
      <x:c r="B10" s="16" t="str">
        <x:v>1-view FP16</x:v>
      </x:c>
      <x:c r="C10" s="16" t="str">
        <x:v>runs/T06_ls/seed0/best.pt</x:v>
      </x:c>
      <x:c r="D10" s="18" t="n">
        <x:v>1</x:v>
      </x:c>
      <x:c r="E10" s="17" t="n">
        <x:v>0.971209485039089</x:v>
      </x:c>
      <x:c r="F10" s="17" t="n">
        <x:v>0.9785775492716366</x:v>
      </x:c>
      <x:c r="G10" s="17" t="n">
        <x:v>0.0845254264481029</x:v>
      </x:c>
      <x:c r="H10" s="17" t="n">
        <x:v>5.484661499394861</x:v>
      </x:c>
      <x:c r="I10" s="17" t="n">
        <x:v>5.933718449159642</x:v>
      </x:c>
      <x:c r="J10" s="17" t="n">
        <x:v>6.702068259983209</x:v>
      </x:c>
      <x:c r="K10" s="17" t="n">
        <x:v>182.3266577363677</x:v>
      </x:c>
      <x:c r="L10" s="17" t="n">
        <x:f>H10/$H$5</x:f>
        <x:v>0.9563038916282931</x:v>
      </x:c>
      <x:c r="M10" s="17" t="n">
        <x:v>1</x:v>
      </x:c>
      <x:c r="N10" s="15" t="str">
        <x:v>fp16</x:v>
      </x:c>
      <x:c r="O10" s="16" t="str">
        <x:v>Forward; chưa tính preprocessing và aggregation</x:v>
      </x:c>
    </x:row>
    <x:row r="1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</x:row>
  </x:sheetData>
  <x:mergeCells>
    <x:mergeCell ref="A1:O1"/>
    <x:mergeCell ref="A2:O2"/>
  </x:mergeCells>
  <x:pageMargins left="0.7" right="0.7" top="0.75" bottom="0.75" header="0.3" footer="0.3"/>
  <x:tableParts count="1">
    <x:tablePart xmlns:r="http://schemas.openxmlformats.org/officeDocument/2006/relationships" r:id="R45a7b9053c384f01"/>
  </x:tableParts>
</x:worksheet>
</file>

<file path=xl/worksheets/sheet4.xml><?xml version="1.0" encoding="utf-8"?>
<x:worksheet xmlns:x="http://schemas.openxmlformats.org/spreadsheetml/2006/main">
  <x:sheetPr>
    <x:tabColor rgb="FF27475D"/>
  </x:sheetPr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3" hidden="0" customWidth="1"/>
    <x:col min="2" max="2" width="57" hidden="0" customWidth="1"/>
    <x:col min="3" max="3" width="10" hidden="0" customWidth="1"/>
    <x:col min="4" max="4" width="18" hidden="0" customWidth="1"/>
    <x:col min="5" max="5" width="18" hidden="0" customWidth="1"/>
    <x:col min="6" max="6" width="19" hidden="0" customWidth="1"/>
    <x:col min="7" max="7" width="19" hidden="0" customWidth="1"/>
    <x:col min="8" max="8" width="18" hidden="0" customWidth="1"/>
    <x:col min="9" max="9" width="22" hidden="0" customWidth="1"/>
    <x:col min="10" max="10" width="18" hidden="0" customWidth="1"/>
    <x:col min="11" max="11" width="23" hidden="0" customWidth="1"/>
  </x:cols>
  <x:sheetData>
    <x:row r="1">
      <x:c r="A1" s="2" t="str">
        <x:v>Chung kết và baseline: 3 seed, toàn bộ test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 ht="32" customHeight="1">
      <x:c r="A2" s="5" t="str">
        <x:v>Chỉ số 0–1; std mẫu (ddof=1). Dữ liệu lấy từ version 5; nguồn và provenance ghi ở Backbones, README và config.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 ht="42" customHeight="1">
      <x:c r="A4" s="10" t="str">
        <x:v>exp_id</x:v>
      </x:c>
      <x:c r="B4" s="10" t="str">
        <x:v>Cấu hình</x:v>
      </x:c>
      <x:c r="C4" s="10" t="str">
        <x:v>Seed</x:v>
      </x:c>
      <x:c r="D4" s="10" t="str">
        <x:v>Macro-F1 val</x:v>
      </x:c>
      <x:c r="E4" s="10" t="str">
        <x:v>Top-1 val</x:v>
      </x:c>
      <x:c r="F4" s="10" t="str">
        <x:v>Macro-F1 test</x:v>
      </x:c>
      <x:c r="G4" s="10" t="str">
        <x:v>Top-1 test</x:v>
      </x:c>
      <x:c r="H4" s="10" t="str">
        <x:v>ECE test</x:v>
      </x:c>
      <x:c r="I4" s="10" t="str">
        <x:v>Balanced acc test</x:v>
      </x:c>
      <x:c r="J4" s="10" t="str">
        <x:v>Temperature</x:v>
      </x:c>
      <x:c r="K4" s="10" t="str">
        <x:v>Suy luận</x:v>
      </x:c>
    </x:row>
    <x:row r="5" ht="38" customHeight="1">
      <x:c r="A5" s="11" t="str">
        <x:v>F01</x:v>
      </x:c>
      <x:c r="B5" s="12" t="str">
        <x:v>ConvNeXt-Tiny + smoothing + Hflip-prob + T(val)</x:v>
      </x:c>
      <x:c r="C5" s="14" t="n">
        <x:v>0</x:v>
      </x:c>
      <x:c r="D5" s="13" t="n">
        <x:v>0.9727395001314864</x:v>
      </x:c>
      <x:c r="E5" s="13" t="n">
        <x:v>0.9797200799771494</x:v>
      </x:c>
      <x:c r="F5" s="13" t="n">
        <x:v>0.9705576986008391</x:v>
      </x:c>
      <x:c r="G5" s="13" t="n">
        <x:v>0.977473624180211</x:v>
      </x:c>
      <x:c r="H5" s="13" t="n">
        <x:v>0.007862239264328406</x:v>
      </x:c>
      <x:c r="I5" s="13" t="n">
        <x:v>0.9738856770873016</x:v>
      </x:c>
      <x:c r="J5" s="13" t="n">
        <x:v>0.6217189162269857</x:v>
      </x:c>
      <x:c r="K5" s="11" t="str">
        <x:v>hflip_prob</x:v>
      </x:c>
    </x:row>
    <x:row r="6" ht="38" customHeight="1">
      <x:c r="A6" s="15" t="str">
        <x:v>F01</x:v>
      </x:c>
      <x:c r="B6" s="16" t="str">
        <x:v>ConvNeXt-Tiny + smoothing + Hflip-prob + T(val)</x:v>
      </x:c>
      <x:c r="C6" s="18" t="n">
        <x:v>1</x:v>
      </x:c>
      <x:c r="D6" s="17" t="n">
        <x:v>0.9704150012293413</x:v>
      </x:c>
      <x:c r="E6" s="17" t="n">
        <x:v>0.9774350185661239</x:v>
      </x:c>
      <x:c r="F6" s="17" t="n">
        <x:v>0.9728446127550653</x:v>
      </x:c>
      <x:c r="G6" s="17" t="n">
        <x:v>0.9786142001710864</x:v>
      </x:c>
      <x:c r="H6" s="17" t="n">
        <x:v>0.007450324853150803</x:v>
      </x:c>
      <x:c r="I6" s="17" t="n">
        <x:v>0.9752680909312819</x:v>
      </x:c>
      <x:c r="J6" s="17" t="n">
        <x:v>0.6151282869927015</x:v>
      </x:c>
      <x:c r="K6" s="15" t="str">
        <x:v>hflip_prob</x:v>
      </x:c>
    </x:row>
    <x:row r="7" ht="38" customHeight="1">
      <x:c r="A7" s="11" t="str">
        <x:v>F01</x:v>
      </x:c>
      <x:c r="B7" s="12" t="str">
        <x:v>ConvNeXt-Tiny + smoothing + Hflip-prob + T(val)</x:v>
      </x:c>
      <x:c r="C7" s="14" t="n">
        <x:v>2</x:v>
      </x:c>
      <x:c r="D7" s="13" t="n">
        <x:v>0.9729391537080141</x:v>
      </x:c>
      <x:c r="E7" s="13" t="n">
        <x:v>0.9791488146243931</x:v>
      </x:c>
      <x:c r="F7" s="13" t="n">
        <x:v>0.9711336189135275</x:v>
      </x:c>
      <x:c r="G7" s="13" t="n">
        <x:v>0.9771884801824922</x:v>
      </x:c>
      <x:c r="H7" s="13" t="n">
        <x:v>0.00577835387795831</x:v>
      </x:c>
      <x:c r="I7" s="13" t="n">
        <x:v>0.9785623290010617</x:v>
      </x:c>
      <x:c r="J7" s="13" t="n">
        <x:v>0.6174584545637922</x:v>
      </x:c>
      <x:c r="K7" s="11" t="str">
        <x:v>hflip_prob</x:v>
      </x:c>
    </x:row>
    <x:row r="8" ht="38" customHeight="1">
      <x:c r="A8" s="15" t="str">
        <x:v>T00_final</x:v>
      </x:c>
      <x:c r="B8" s="16" t="str">
        <x:v>ConvNeXt-Tiny + CE + 1-view</x:v>
      </x:c>
      <x:c r="C8" s="18" t="n">
        <x:v>0</x:v>
      </x:c>
      <x:c r="D8" s="17" t="n">
        <x:v>0.9649114427775474</x:v>
      </x:c>
      <x:c r="E8" s="17" t="n">
        <x:v>0.9740074264495858</x:v>
      </x:c>
      <x:c r="F8" s="17" t="n">
        <x:v>0.9674745373949116</x:v>
      </x:c>
      <x:c r="G8" s="17" t="n">
        <x:v>0.9749073282007413</x:v>
      </x:c>
      <x:c r="H8" s="17" t="n">
        <x:v>0.011585604596521349</x:v>
      </x:c>
      <x:c r="I8" s="17" t="n">
        <x:v>0.9723895382162385</x:v>
      </x:c>
      <x:c r="J8" s="17" t="n">
        <x:v>1</x:v>
      </x:c>
      <x:c r="K8" s="15" t="str">
        <x:v>identity</x:v>
      </x:c>
    </x:row>
    <x:row r="9" ht="38" customHeight="1">
      <x:c r="A9" s="11" t="str">
        <x:v>T00_final</x:v>
      </x:c>
      <x:c r="B9" s="12" t="str">
        <x:v>ConvNeXt-Tiny + CE + 1-view</x:v>
      </x:c>
      <x:c r="C9" s="14" t="n">
        <x:v>1</x:v>
      </x:c>
      <x:c r="D9" s="13" t="n">
        <x:v>0.9689111162162958</x:v>
      </x:c>
      <x:c r="E9" s="13" t="n">
        <x:v>0.9757212225078549</x:v>
      </x:c>
      <x:c r="F9" s="13" t="n">
        <x:v>0.9685999983251996</x:v>
      </x:c>
      <x:c r="G9" s="13" t="n">
        <x:v>0.9763330481893356</x:v>
      </x:c>
      <x:c r="H9" s="13" t="n">
        <x:v>0.014586031953236545</x:v>
      </x:c>
      <x:c r="I9" s="13" t="n">
        <x:v>0.9672383164211333</x:v>
      </x:c>
      <x:c r="J9" s="13" t="n">
        <x:v>1</x:v>
      </x:c>
      <x:c r="K9" s="11" t="str">
        <x:v>identity</x:v>
      </x:c>
    </x:row>
    <x:row r="10" ht="38" customHeight="1">
      <x:c r="A10" s="15" t="str">
        <x:v>T00_final</x:v>
      </x:c>
      <x:c r="B10" s="16" t="str">
        <x:v>ConvNeXt-Tiny + CE + 1-view</x:v>
      </x:c>
      <x:c r="C10" s="18" t="n">
        <x:v>2</x:v>
      </x:c>
      <x:c r="D10" s="17" t="n">
        <x:v>0.9682739894573218</x:v>
      </x:c>
      <x:c r="E10" s="17" t="n">
        <x:v>0.9751499571550986</x:v>
      </x:c>
      <x:c r="F10" s="17" t="n">
        <x:v>0.9679348825283041</x:v>
      </x:c>
      <x:c r="G10" s="17" t="n">
        <x:v>0.973766752209866</x:v>
      </x:c>
      <x:c r="H10" s="17" t="n">
        <x:v>0.01205778825777024</x:v>
      </x:c>
      <x:c r="I10" s="17" t="n">
        <x:v>0.9749571687676026</x:v>
      </x:c>
      <x:c r="J10" s="17" t="n">
        <x:v>1</x:v>
      </x:c>
      <x:c r="K10" s="15" t="str">
        <x:v>identity</x:v>
      </x:c>
    </x:row>
    <x:row r="11" ht="38" customHeight="1">
      <x:c r="A11" s="23" t="str">
        <x:v>F01 mean</x:v>
      </x:c>
      <x:c r="B11" s="24" t="str">
        <x:v>3 seed: 0, 1, 2</x:v>
      </x:c>
      <x:c r="C11" s="26"/>
      <x:c r="D11" s="25" t="n">
        <x:f>AVERAGE(D5:D7)</x:f>
        <x:v>0.9720312183562806</x:v>
      </x:c>
      <x:c r="E11" s="25" t="n">
        <x:f>AVERAGE(E5:E7)</x:f>
        <x:v>0.9787679710558889</x:v>
      </x:c>
      <x:c r="F11" s="25" t="n">
        <x:f>AVERAGE(F5:F7)</x:f>
        <x:v>0.9715119767564774</x:v>
      </x:c>
      <x:c r="G11" s="25" t="n">
        <x:f>AVERAGE(G5:G7)</x:f>
        <x:v>0.9777587681779298</x:v>
      </x:c>
      <x:c r="H11" s="25" t="n">
        <x:f>AVERAGE(H5:H7)</x:f>
        <x:v>0.007030305998479172</x:v>
      </x:c>
      <x:c r="I11" s="25" t="n">
        <x:f>AVERAGE(I5:I7)</x:f>
        <x:v>0.975905365673215</x:v>
      </x:c>
      <x:c r="J11" s="25" t="n">
        <x:f>AVERAGE(J5:J7)</x:f>
        <x:v>0.6181018859278266</x:v>
      </x:c>
      <x:c r="K11" s="23" t="str">
        <x:v>mean</x:v>
      </x:c>
    </x:row>
    <x:row r="12" ht="38" customHeight="1">
      <x:c r="A12" s="15" t="str">
        <x:v>F01 std</x:v>
      </x:c>
      <x:c r="B12" s="16" t="str">
        <x:v>3 seed: 0, 1, 2</x:v>
      </x:c>
      <x:c r="C12" s="18"/>
      <x:c r="D12" s="17" t="n">
        <x:f>STDEV.S(D5:D7)</x:f>
        <x:v>0.0014032404422314605</x:v>
      </x:c>
      <x:c r="E12" s="17" t="n">
        <x:f>STDEV.S(E5:E7)</x:f>
        <x:v>0.0011891836615059647</x:v>
      </x:c>
      <x:c r="F12" s="17" t="n">
        <x:f>STDEV.S(F5:F7)</x:f>
        <x:v>0.0011894789112007328</x:v>
      </x:c>
      <x:c r="G12" s="17" t="n">
        <x:f>STDEV.S(G5:G7)</x:f>
        <x:v>0.0007544201058068187</x:v>
      </x:c>
      <x:c r="H12" s="17" t="n">
        <x:f>STDEV.S(H5:H7)</x:f>
        <x:v>0.0011036106444718002</x:v>
      </x:c>
      <x:c r="I12" s="17" t="n">
        <x:f>STDEV.S(I5:I7)</x:f>
        <x:v>0.0024025731212906896</x:v>
      </x:c>
      <x:c r="J12" s="17" t="n">
        <x:f>STDEV.S(J5:J7)</x:f>
        <x:v>0.0033420953556291123</x:v>
      </x:c>
      <x:c r="K12" s="15" t="str">
        <x:v>std</x:v>
      </x:c>
    </x:row>
    <x:row r="13" ht="38" customHeight="1">
      <x:c r="A13" s="23" t="str">
        <x:v>T00_final mean</x:v>
      </x:c>
      <x:c r="B13" s="24" t="str">
        <x:v>3 seed: 0, 1, 2</x:v>
      </x:c>
      <x:c r="C13" s="26"/>
      <x:c r="D13" s="25" t="n">
        <x:f>AVERAGE(D8:D10)</x:f>
        <x:v>0.9673655161503882</x:v>
      </x:c>
      <x:c r="E13" s="25" t="n">
        <x:f>AVERAGE(E8:E10)</x:f>
        <x:v>0.9749595353708465</x:v>
      </x:c>
      <x:c r="F13" s="25" t="n">
        <x:f>AVERAGE(F8:F10)</x:f>
        <x:v>0.9680031394161385</x:v>
      </x:c>
      <x:c r="G13" s="25" t="n">
        <x:f>AVERAGE(G8:G10)</x:f>
        <x:v>0.975002376199981</x:v>
      </x:c>
      <x:c r="H13" s="25" t="n">
        <x:f>AVERAGE(H8:H10)</x:f>
        <x:v>0.012743141602509377</x:v>
      </x:c>
      <x:c r="I13" s="25" t="n">
        <x:f>AVERAGE(I8:I10)</x:f>
        <x:v>0.9715283411349915</x:v>
      </x:c>
      <x:c r="J13" s="25" t="n">
        <x:f>AVERAGE(J8:J10)</x:f>
        <x:v>1</x:v>
      </x:c>
      <x:c r="K13" s="23" t="str">
        <x:v>mean</x:v>
      </x:c>
    </x:row>
    <x:row r="14" ht="38" customHeight="1">
      <x:c r="A14" s="15" t="str">
        <x:v>T00_final std</x:v>
      </x:c>
      <x:c r="B14" s="16" t="str">
        <x:v>3 seed: 0, 1, 2</x:v>
      </x:c>
      <x:c r="C14" s="18"/>
      <x:c r="D14" s="17" t="n">
        <x:f>STDEV.S(D8:D10)</x:f>
        <x:v>0.0021490322743540568</x:v>
      </x:c>
      <x:c r="E14" s="17" t="n">
        <x:f>STDEV.S(E8:E10)</x:f>
        <x:v>0.0008726222403038765</x:v>
      </x:c>
      <x:c r="F14" s="17" t="n">
        <x:f>STDEV.S(F8:F10)</x:f>
        <x:v>0.0005658266770432415</x:v>
      </x:c>
      <x:c r="G14" s="17" t="n">
        <x:f>STDEV.S(G8:G10)</x:f>
        <x:v>0.0012857855012326671</x:v>
      </x:c>
      <x:c r="H14" s="17" t="n">
        <x:f>STDEV.S(H8:H10)</x:f>
        <x:v>0.0016133576745688092</x:v>
      </x:c>
      <x:c r="I14" s="17" t="n">
        <x:f>STDEV.S(I8:I10)</x:f>
        <x:v>0.00393082888157319</x:v>
      </x:c>
      <x:c r="J14" s="17" t="n">
        <x:f>STDEV.S(J8:J10)</x:f>
        <x:v>0</x:v>
      </x:c>
      <x:c r="K14" s="15" t="str">
        <x:v>std</x:v>
      </x:c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</x:row>
    <x:row r="16" ht="40" customHeight="1">
      <x:c r="A16" s="27" t="str">
        <x:v>Delta macro-F1 test = 0.003509 (0.3509 điểm %). Std qua seed của F01 = 0.001189; 3 seed chưa đủ để kết luận kiểm định thống kê.</x:v>
      </x:c>
      <x:c r="B16" s="27"/>
      <x:c r="C16" s="27"/>
      <x:c r="D16" s="27"/>
      <x:c r="E16" s="27"/>
      <x:c r="F16" s="27"/>
      <x:c r="G16" s="27"/>
      <x:c r="H16" s="27"/>
      <x:c r="I16" s="27"/>
      <x:c r="J16" s="27"/>
      <x:c r="K16" s="27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</x:row>
  </x:sheetData>
  <x:mergeCells>
    <x:mergeCell ref="A1:K1"/>
    <x:mergeCell ref="A2:K2"/>
    <x:mergeCell ref="A16:K16"/>
  </x:mergeCells>
  <x:pageMargins left="0.7" right="0.7" top="0.75" bottom="0.75" header="0.3" footer="0.3"/>
  <x:tableParts count="1">
    <x:tablePart xmlns:r="http://schemas.openxmlformats.org/officeDocument/2006/relationships" r:id="Rc1bd6a2cce184f96"/>
  </x:tableParts>
</x:worksheet>
</file>

<file path=xl/worksheets/sheet5.xml><?xml version="1.0" encoding="utf-8"?>
<x:worksheet xmlns:x="http://schemas.openxmlformats.org/spreadsheetml/2006/main">
  <x:sheetPr>
    <x:tabColor rgb="FF27475D"/>
  </x:sheetPr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3" hidden="0" customWidth="1"/>
    <x:col min="2" max="2" width="25" hidden="0" customWidth="1"/>
    <x:col min="3" max="3" width="17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18" hidden="0" customWidth="1"/>
    <x:col min="9" max="9" width="18" hidden="0" customWidth="1"/>
    <x:col min="10" max="10" width="25" hidden="0" customWidth="1"/>
  </x:cols>
  <x:sheetData>
    <x:row r="1">
      <x:c r="A1" s="2" t="str">
        <x:v>Kết quả test từng lớp: mean và std của 3 seed</x:v>
      </x:c>
      <x:c r="B1" s="1"/>
      <x:c r="C1" s="1"/>
      <x:c r="D1" s="1"/>
      <x:c r="E1" s="1"/>
      <x:c r="F1" s="1"/>
      <x:c r="G1" s="1"/>
      <x:c r="H1" s="1"/>
      <x:c r="I1" s="1"/>
      <x:c r="J1" s="1"/>
    </x:row>
    <x:row r="2" ht="32" customHeight="1">
      <x:c r="A2" s="5" t="str">
        <x:v>Chỉ số 0–1; std mẫu (ddof=1). Dữ liệu lấy từ version 5; nguồn và provenance ghi ở Backbones, README và config.</x:v>
      </x:c>
      <x:c r="B2" s="5"/>
      <x:c r="C2" s="5"/>
      <x:c r="D2" s="5"/>
      <x:c r="E2" s="5"/>
      <x:c r="F2" s="5"/>
      <x:c r="G2" s="5"/>
      <x:c r="H2" s="5"/>
      <x:c r="I2" s="5"/>
      <x:c r="J2" s="5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</x:row>
    <x:row r="4" ht="42" customHeight="1">
      <x:c r="A4" s="10" t="str">
        <x:v>exp_id</x:v>
      </x:c>
      <x:c r="B4" s="10" t="str">
        <x:v>Lớp</x:v>
      </x:c>
      <x:c r="C4" s="10" t="str">
        <x:v>Số ảnh test</x:v>
      </x:c>
      <x:c r="D4" s="10" t="str">
        <x:v>Precision mean</x:v>
      </x:c>
      <x:c r="E4" s="10" t="str">
        <x:v>Precision std</x:v>
      </x:c>
      <x:c r="F4" s="10" t="str">
        <x:v>Recall mean</x:v>
      </x:c>
      <x:c r="G4" s="10" t="str">
        <x:v>Recall std</x:v>
      </x:c>
      <x:c r="H4" s="10" t="str">
        <x:v>F1 mean</x:v>
      </x:c>
      <x:c r="I4" s="10" t="str">
        <x:v>F1 std</x:v>
      </x:c>
      <x:c r="J4" s="10" t="str">
        <x:v>Delta F1 / baseline</x:v>
      </x:c>
    </x:row>
    <x:row r="5" ht="27" customHeight="1">
      <x:c r="A5" s="23" t="str">
        <x:v>F01</x:v>
      </x:c>
      <x:c r="B5" s="23" t="str">
        <x:v>Chinee Apple</x:v>
      </x:c>
      <x:c r="C5" s="26" t="n">
        <x:v>226</x:v>
      </x:c>
      <x:c r="D5" s="25" t="n">
        <x:v>0.9616044616044616</x:v>
      </x:c>
      <x:c r="E5" s="25" t="n">
        <x:v>0.00829924586964958</x:v>
      </x:c>
      <x:c r="F5" s="25" t="n">
        <x:v>0.9572271386430679</x:v>
      </x:c>
      <x:c r="G5" s="25" t="n">
        <x:v>0.014223673688780128</x:v>
      </x:c>
      <x:c r="H5" s="25" t="n">
        <x:v>0.9593264822340314</x:v>
      </x:c>
      <x:c r="I5" s="25" t="n">
        <x:v>0.0037464672665518364</x:v>
      </x:c>
      <x:c r="J5" s="25" t="n">
        <x:f>H5-H14</x:f>
        <x:v>0.006656653097519616</x:v>
      </x:c>
    </x:row>
    <x:row r="6" ht="27" customHeight="1">
      <x:c r="A6" s="15" t="str">
        <x:v>F01</x:v>
      </x:c>
      <x:c r="B6" s="15" t="str">
        <x:v>Lantana</x:v>
      </x:c>
      <x:c r="C6" s="18" t="n">
        <x:v>213</x:v>
      </x:c>
      <x:c r="D6" s="17" t="n">
        <x:v>0.9431244650492983</x:v>
      </x:c>
      <x:c r="E6" s="17" t="n">
        <x:v>0.013457893687140442</x:v>
      </x:c>
      <x:c r="F6" s="17" t="n">
        <x:v>0.9827856025039123</x:v>
      </x:c>
      <x:c r="G6" s="17" t="n">
        <x:v>0.0071714799608072555</x:v>
      </x:c>
      <x:c r="H6" s="17" t="n">
        <x:v>0.9624776944063607</x:v>
      </x:c>
      <x:c r="I6" s="17" t="n">
        <x:v>0.004485604420139386</x:v>
      </x:c>
      <x:c r="J6" s="17" t="n">
        <x:f>H6-H15</x:f>
        <x:v>-0.0031197440974817248</x:v>
      </x:c>
    </x:row>
    <x:row r="7" ht="27" customHeight="1">
      <x:c r="A7" s="11" t="str">
        <x:v>F01</x:v>
      </x:c>
      <x:c r="B7" s="11" t="str">
        <x:v>Parkinsonia</x:v>
      </x:c>
      <x:c r="C7" s="14" t="n">
        <x:v>207</x:v>
      </x:c>
      <x:c r="D7" s="13" t="n">
        <x:v>0.9791199900423201</x:v>
      </x:c>
      <x:c r="E7" s="13" t="n">
        <x:v>0.0072829495734812455</x:v>
      </x:c>
      <x:c r="F7" s="13" t="n">
        <x:v>0.9806763285024155</x:v>
      </x:c>
      <x:c r="G7" s="13" t="n">
        <x:v>0.004830917874396157</x:v>
      </x:c>
      <x:c r="H7" s="13" t="n">
        <x:v>0.9798924511605746</x:v>
      </x:c>
      <x:c r="I7" s="13" t="n">
        <x:v>0.005541392625035695</x:v>
      </x:c>
      <x:c r="J7" s="13" t="n">
        <x:f>H7-H16</x:f>
        <x:v>0.0047467560523362096</x:v>
      </x:c>
    </x:row>
    <x:row r="8" ht="27" customHeight="1">
      <x:c r="A8" s="15" t="str">
        <x:v>F01</x:v>
      </x:c>
      <x:c r="B8" s="15" t="str">
        <x:v>Parthenium</x:v>
      </x:c>
      <x:c r="C8" s="18" t="n">
        <x:v>205</x:v>
      </x:c>
      <x:c r="D8" s="17" t="n">
        <x:v>0.9901468268414028</x:v>
      </x:c>
      <x:c r="E8" s="17" t="n">
        <x:v>0.00483024265186325</x:v>
      </x:c>
      <x:c r="F8" s="17" t="n">
        <x:v>0.9772357723577235</x:v>
      </x:c>
      <x:c r="G8" s="17" t="n">
        <x:v>0.007451342593424136</x:v>
      </x:c>
      <x:c r="H8" s="17" t="n">
        <x:v>0.983627698345949</x:v>
      </x:c>
      <x:c r="I8" s="17" t="n">
        <x:v>0.002886611135406352</x:v>
      </x:c>
      <x:c r="J8" s="17" t="n">
        <x:f>H8-H17</x:f>
        <x:v>0.007509994731583647</x:v>
      </x:c>
    </x:row>
    <x:row r="9" ht="27" customHeight="1">
      <x:c r="A9" s="11" t="str">
        <x:v>F01</x:v>
      </x:c>
      <x:c r="B9" s="11" t="str">
        <x:v>Prickly Acacia</x:v>
      </x:c>
      <x:c r="C9" s="14" t="n">
        <x:v>213</x:v>
      </x:c>
      <x:c r="D9" s="13" t="n">
        <x:v>0.937308201058201</x:v>
      </x:c>
      <x:c r="E9" s="13" t="n">
        <x:v>0.011185274270317428</x:v>
      </x:c>
      <x:c r="F9" s="13" t="n">
        <x:v>0.9812206572769954</x:v>
      </x:c>
      <x:c r="G9" s="13" t="n">
        <x:v>1.3597399555105182e-16</x:v>
      </x:c>
      <x:c r="H9" s="13" t="n">
        <x:v>0.9587392021137501</x:v>
      </x:c>
      <x:c r="I9" s="13" t="n">
        <x:v>0.005835094851542449</x:v>
      </x:c>
      <x:c r="J9" s="13" t="n">
        <x:f>H9-H18</x:f>
        <x:v>0.007601253422964915</x:v>
      </x:c>
    </x:row>
    <x:row r="10" ht="27" customHeight="1">
      <x:c r="A10" s="15" t="str">
        <x:v>F01</x:v>
      </x:c>
      <x:c r="B10" s="15" t="str">
        <x:v>Rubber Vine</x:v>
      </x:c>
      <x:c r="C10" s="18" t="n">
        <x:v>202</x:v>
      </x:c>
      <x:c r="D10" s="17" t="n">
        <x:v>0.9802465504987379</x:v>
      </x:c>
      <x:c r="E10" s="17" t="n">
        <x:v>0.004852770031925355</x:v>
      </x:c>
      <x:c r="F10" s="17" t="n">
        <x:v>0.9818481848184818</x:v>
      </x:c>
      <x:c r="G10" s="17" t="n">
        <x:v>0.0028581696494535953</x:v>
      </x:c>
      <x:c r="H10" s="17" t="n">
        <x:v>0.9810413667044492</x:v>
      </x:c>
      <x:c r="I10" s="17" t="n">
        <x:v>0.002826676301011247</x:v>
      </x:c>
      <x:c r="J10" s="17" t="n">
        <x:f>H10-H19</x:f>
        <x:v>0.0009221406353649986</x:v>
      </x:c>
    </x:row>
    <x:row r="11" ht="27" customHeight="1">
      <x:c r="A11" s="11" t="str">
        <x:v>F01</x:v>
      </x:c>
      <x:c r="B11" s="11" t="str">
        <x:v>Siam Weed</x:v>
      </x:c>
      <x:c r="C11" s="14" t="n">
        <x:v>215</x:v>
      </x:c>
      <x:c r="D11" s="13" t="n">
        <x:v>0.9712970827924196</x:v>
      </x:c>
      <x:c r="E11" s="13" t="n">
        <x:v>0.019840568873239022</x:v>
      </x:c>
      <x:c r="F11" s="13" t="n">
        <x:v>0.9829457364341087</x:v>
      </x:c>
      <x:c r="G11" s="13" t="n">
        <x:v>0.009682167439377396</x:v>
      </x:c>
      <x:c r="H11" s="13" t="n">
        <x:v>0.9769408938710735</x:v>
      </x:c>
      <x:c r="I11" s="13" t="n">
        <x:v>0.005763560781531224</x:v>
      </x:c>
      <x:c r="J11" s="13" t="n">
        <x:f>H11-H20</x:f>
        <x:v>-0.002305445836103037</x:v>
      </x:c>
    </x:row>
    <x:row r="12" ht="27" customHeight="1">
      <x:c r="A12" s="23" t="str">
        <x:v>F01</x:v>
      </x:c>
      <x:c r="B12" s="23" t="str">
        <x:v>Snake Weed</x:v>
      </x:c>
      <x:c r="C12" s="26" t="n">
        <x:v>204</x:v>
      </x:c>
      <x:c r="D12" s="25" t="n">
        <x:v>0.9535058663348891</x:v>
      </x:c>
      <x:c r="E12" s="25" t="n">
        <x:v>0.02357980631785898</x:v>
      </x:c>
      <x:c r="F12" s="25" t="n">
        <x:v>0.9591503267973857</x:v>
      </x:c>
      <x:c r="G12" s="25" t="n">
        <x:v>0.012336330776586208</x:v>
      </x:c>
      <x:c r="H12" s="25" t="n">
        <x:v>0.9560959608900887</x:v>
      </x:c>
      <x:c r="I12" s="25" t="n">
        <x:v>0.005702424161144194</x:v>
      </x:c>
      <x:c r="J12" s="25" t="n">
        <x:f>H12-H21</x:f>
        <x:v>0.007647248734940937</x:v>
      </x:c>
    </x:row>
    <x:row r="13" ht="27" customHeight="1">
      <x:c r="A13" s="11" t="str">
        <x:v>F01</x:v>
      </x:c>
      <x:c r="B13" s="11" t="str">
        <x:v>Negatives</x:v>
      </x:c>
      <x:c r="C13" s="14" t="n">
        <x:v>1822</x:v>
      </x:c>
      <x:c r="D13" s="13" t="n">
        <x:v>0.9909467760220928</x:v>
      </x:c>
      <x:c r="E13" s="13" t="n">
        <x:v>0.002573604711653661</x:v>
      </x:c>
      <x:c r="F13" s="13" t="n">
        <x:v>0.9800585437248445</x:v>
      </x:c>
      <x:c r="G13" s="13" t="n">
        <x:v>0.0036544062121182316</x:v>
      </x:c>
      <x:c r="H13" s="13" t="n">
        <x:v>0.9854660410820184</x:v>
      </x:c>
      <x:c r="I13" s="13" t="n">
        <x:v>0.0006180904779088526</x:v>
      </x:c>
      <x:c r="J13" s="13" t="n">
        <x:f>H13-H22</x:f>
        <x:v>0.0019206793219247453</x:v>
      </x:c>
    </x:row>
    <x:row r="14" ht="27" customHeight="1">
      <x:c r="A14" s="15" t="str">
        <x:v>T00_final</x:v>
      </x:c>
      <x:c r="B14" s="15" t="str">
        <x:v>Chinee Apple</x:v>
      </x:c>
      <x:c r="C14" s="18" t="n">
        <x:v>226</x:v>
      </x:c>
      <x:c r="D14" s="17" t="n">
        <x:v>0.9555697245536191</x:v>
      </x:c>
      <x:c r="E14" s="17" t="n">
        <x:v>0.011265100056432307</x:v>
      </x:c>
      <x:c r="F14" s="17" t="n">
        <x:v>0.9498525073746312</x:v>
      </x:c>
      <x:c r="G14" s="17" t="n">
        <x:v>0.009210911502062548</x:v>
      </x:c>
      <x:c r="H14" s="17" t="n">
        <x:v>0.9526698291365118</x:v>
      </x:c>
      <x:c r="I14" s="17" t="n">
        <x:v>0.007688302298828764</x:v>
      </x:c>
      <x:c r="J14" s="17"/>
    </x:row>
    <x:row r="15" ht="27" customHeight="1">
      <x:c r="A15" s="11" t="str">
        <x:v>T00_final</x:v>
      </x:c>
      <x:c r="B15" s="11" t="str">
        <x:v>Lantana</x:v>
      </x:c>
      <x:c r="C15" s="14" t="n">
        <x:v>213</x:v>
      </x:c>
      <x:c r="D15" s="13" t="n">
        <x:v>0.946325711676589</x:v>
      </x:c>
      <x:c r="E15" s="13" t="n">
        <x:v>0.021079563879171963</x:v>
      </x:c>
      <x:c r="F15" s="13" t="n">
        <x:v>0.9859154929577465</x:v>
      </x:c>
      <x:c r="G15" s="13" t="n">
        <x:v>0.004694835680751186</x:v>
      </x:c>
      <x:c r="H15" s="13" t="n">
        <x:v>0.9655974385038424</x:v>
      </x:c>
      <x:c r="I15" s="13" t="n">
        <x:v>0.008721713830290379</x:v>
      </x:c>
      <x:c r="J15" s="13"/>
    </x:row>
    <x:row r="16" ht="27" customHeight="1">
      <x:c r="A16" s="15" t="str">
        <x:v>T00_final</x:v>
      </x:c>
      <x:c r="B16" s="15" t="str">
        <x:v>Parkinsonia</x:v>
      </x:c>
      <x:c r="C16" s="18" t="n">
        <x:v>207</x:v>
      </x:c>
      <x:c r="D16" s="17" t="n">
        <x:v>0.9729446386746873</x:v>
      </x:c>
      <x:c r="E16" s="17" t="n">
        <x:v>0.016487301882486226</x:v>
      </x:c>
      <x:c r="F16" s="17" t="n">
        <x:v>0.9774557165861514</x:v>
      </x:c>
      <x:c r="G16" s="17" t="n">
        <x:v>0.0027891317352155957</x:v>
      </x:c>
      <x:c r="H16" s="17" t="n">
        <x:v>0.9751456951082383</x:v>
      </x:c>
      <x:c r="I16" s="17" t="n">
        <x:v>0.008260866622285118</x:v>
      </x:c>
      <x:c r="J16" s="17"/>
    </x:row>
    <x:row r="17" ht="27" customHeight="1">
      <x:c r="A17" s="11" t="str">
        <x:v>T00_final</x:v>
      </x:c>
      <x:c r="B17" s="11" t="str">
        <x:v>Parthenium</x:v>
      </x:c>
      <x:c r="C17" s="14" t="n">
        <x:v>205</x:v>
      </x:c>
      <x:c r="D17" s="13" t="n">
        <x:v>0.9867461836219636</x:v>
      </x:c>
      <x:c r="E17" s="13" t="n">
        <x:v>0.002642150933693653</x:v>
      </x:c>
      <x:c r="F17" s="13" t="n">
        <x:v>0.9658536585365853</x:v>
      </x:c>
      <x:c r="G17" s="13" t="n">
        <x:v>0.01758805500226338</x:v>
      </x:c>
      <x:c r="H17" s="13" t="n">
        <x:v>0.9761177036143653</x:v>
      </x:c>
      <x:c r="I17" s="13" t="n">
        <x:v>0.007803918556865877</x:v>
      </x:c>
      <x:c r="J17" s="13"/>
    </x:row>
    <x:row r="18" ht="27" customHeight="1">
      <x:c r="A18" s="15" t="str">
        <x:v>T00_final</x:v>
      </x:c>
      <x:c r="B18" s="15" t="str">
        <x:v>Prickly Acacia</x:v>
      </x:c>
      <x:c r="C18" s="18" t="n">
        <x:v>213</x:v>
      </x:c>
      <x:c r="D18" s="17" t="n">
        <x:v>0.9285372536146529</x:v>
      </x:c>
      <x:c r="E18" s="17" t="n">
        <x:v>0.006483675179038693</x:v>
      </x:c>
      <x:c r="F18" s="17" t="n">
        <x:v>0.974960876369327</x:v>
      </x:c>
      <x:c r="G18" s="17" t="n">
        <x:v>0.00977307980970017</x:v>
      </x:c>
      <x:c r="H18" s="17" t="n">
        <x:v>0.9511379486907852</x:v>
      </x:c>
      <x:c r="I18" s="17" t="n">
        <x:v>0.0016178106774031482</x:v>
      </x:c>
      <x:c r="J18" s="17"/>
    </x:row>
    <x:row r="19" ht="27" customHeight="1">
      <x:c r="A19" s="11" t="str">
        <x:v>T00_final</x:v>
      </x:c>
      <x:c r="B19" s="11" t="str">
        <x:v>Rubber Vine</x:v>
      </x:c>
      <x:c r="C19" s="14" t="n">
        <x:v>202</x:v>
      </x:c>
      <x:c r="D19" s="13" t="n">
        <x:v>0.9834471006801614</x:v>
      </x:c>
      <x:c r="E19" s="13" t="n">
        <x:v>0.005543309810921211</x:v>
      </x:c>
      <x:c r="F19" s="13" t="n">
        <x:v>0.9768976897689768</x:v>
      </x:c>
      <x:c r="G19" s="13" t="n">
        <x:v>0.010305277225079875</x:v>
      </x:c>
      <x:c r="H19" s="13" t="n">
        <x:v>0.9801192260690842</x:v>
      </x:c>
      <x:c r="I19" s="13" t="n">
        <x:v>0.0026371031790808006</x:v>
      </x:c>
      <x:c r="J19" s="13"/>
    </x:row>
    <x:row r="20" ht="27" customHeight="1">
      <x:c r="A20" s="15" t="str">
        <x:v>T00_final</x:v>
      </x:c>
      <x:c r="B20" s="15" t="str">
        <x:v>Siam Weed</x:v>
      </x:c>
      <x:c r="C20" s="18" t="n">
        <x:v>215</x:v>
      </x:c>
      <x:c r="D20" s="17" t="n">
        <x:v>0.9710718294051627</x:v>
      </x:c>
      <x:c r="E20" s="17" t="n">
        <x:v>0.006761482946659417</x:v>
      </x:c>
      <x:c r="F20" s="17" t="n">
        <x:v>0.9875968992248062</x:v>
      </x:c>
      <x:c r="G20" s="17" t="n">
        <x:v>0.007104768519311407</x:v>
      </x:c>
      <x:c r="H20" s="17" t="n">
        <x:v>0.9792463397071766</x:v>
      </x:c>
      <x:c r="I20" s="17" t="n">
        <x:v>0.004599037489055977</x:v>
      </x:c>
      <x:c r="J20" s="17"/>
    </x:row>
    <x:row r="21" ht="27" customHeight="1">
      <x:c r="A21" s="11" t="str">
        <x:v>T00_final</x:v>
      </x:c>
      <x:c r="B21" s="11" t="str">
        <x:v>Snake Weed</x:v>
      </x:c>
      <x:c r="C21" s="14" t="n">
        <x:v>204</x:v>
      </x:c>
      <x:c r="D21" s="13" t="n">
        <x:v>0.9512382639468647</x:v>
      </x:c>
      <x:c r="E21" s="13" t="n">
        <x:v>0.02110280546186979</x:v>
      </x:c>
      <x:c r="F21" s="13" t="n">
        <x:v>0.9460784313725491</x:v>
      </x:c>
      <x:c r="G21" s="13" t="n">
        <x:v>0.012969369171885244</x:v>
      </x:c>
      <x:c r="H21" s="13" t="n">
        <x:v>0.9484487121551478</x:v>
      </x:c>
      <x:c r="I21" s="13" t="n">
        <x:v>0.004039474806603857</x:v>
      </x:c>
      <x:c r="J21" s="13"/>
    </x:row>
    <x:row r="22" ht="27" customHeight="1">
      <x:c r="A22" s="15" t="str">
        <x:v>T00_final</x:v>
      </x:c>
      <x:c r="B22" s="15" t="str">
        <x:v>Negatives</x:v>
      </x:c>
      <x:c r="C22" s="18" t="n">
        <x:v>1822</x:v>
      </x:c>
      <x:c r="D22" s="17" t="n">
        <x:v>0.9880237060683988</x:v>
      </x:c>
      <x:c r="E22" s="17" t="n">
        <x:v>0.003374775795046442</x:v>
      </x:c>
      <x:c r="F22" s="17" t="n">
        <x:v>0.9791437980241492</x:v>
      </x:c>
      <x:c r="G22" s="17" t="n">
        <x:v>0.007198066437214074</x:v>
      </x:c>
      <x:c r="H22" s="17" t="n">
        <x:v>0.9835453617600937</x:v>
      </x:c>
      <x:c r="I22" s="17" t="n">
        <x:v>0.002184507639450984</x:v>
      </x:c>
      <x:c r="J22" s="17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cb841bf6761c4296"/>
  </x:tableParts>
</x:worksheet>
</file>

<file path=xl/worksheets/sheet6.xml><?xml version="1.0" encoding="utf-8"?>
<x:worksheet xmlns:x="http://schemas.openxmlformats.org/spreadsheetml/2006/main">
  <x:sheetPr>
    <x:tabColor rgb="FF27475D"/>
  </x:sheetPr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5" hidden="0" customWidth="1"/>
    <x:col min="2" max="2" width="26" hidden="0" customWidth="1"/>
    <x:col min="3" max="3" width="20" hidden="0" customWidth="1"/>
    <x:col min="4" max="4" width="13" hidden="0" customWidth="1"/>
    <x:col min="5" max="5" width="11" hidden="0" customWidth="1"/>
    <x:col min="6" max="6" width="23" hidden="0" customWidth="1"/>
    <x:col min="7" max="7" width="16" hidden="0" customWidth="1"/>
    <x:col min="8" max="8" width="16" hidden="0" customWidth="1"/>
    <x:col min="9" max="9" width="16" hidden="0" customWidth="1"/>
    <x:col min="10" max="10" width="20" hidden="0" customWidth="1"/>
    <x:col min="11" max="11" width="13" hidden="0" customWidth="1"/>
    <x:col min="12" max="12" width="13" hidden="0" customWidth="1"/>
    <x:col min="13" max="13" width="49" hidden="0" customWidth="1"/>
  </x:cols>
  <x:sheetData>
    <x:row r="1">
      <x:c r="A1" s="2" t="str">
        <x:v>Phép đo latency và throughput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</x:row>
    <x:row r="2" ht="32" customHeight="1">
      <x:c r="A2" s="5" t="str">
        <x:v>Ảnh ngẫu nhiên 224×224; eval + inference_mode; đồng bộ CUDA. Đo bổ sung chỉ forward từ checkpoint đã lưu, không đánh giá test.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</x:row>
    <x:row r="4" ht="42" customHeight="1">
      <x:c r="A4" s="10" t="str">
        <x:v>Cấu hình</x:v>
      </x:c>
      <x:c r="B4" s="10" t="str">
        <x:v>Nguồn phép đo</x:v>
      </x:c>
      <x:c r="C4" s="10" t="str">
        <x:v>GPU</x:v>
      </x:c>
      <x:c r="D4" s="10" t="str">
        <x:v>Dtype</x:v>
      </x:c>
      <x:c r="E4" s="10" t="str">
        <x:v>Batch</x:v>
      </x:c>
      <x:c r="F4" s="10" t="str">
        <x:v>Gộp BN</x:v>
      </x:c>
      <x:c r="G4" s="10" t="str">
        <x:v>p50 (ms)</x:v>
      </x:c>
      <x:c r="H4" s="10" t="str">
        <x:v>p95 (ms)</x:v>
      </x:c>
      <x:c r="I4" s="10" t="str">
        <x:v>p99 (ms)</x:v>
      </x:c>
      <x:c r="J4" s="10" t="str">
        <x:v>Ảnh/s</x:v>
      </x:c>
      <x:c r="K4" s="10" t="str">
        <x:v>Warmup</x:v>
      </x:c>
      <x:c r="L4" s="10" t="str">
        <x:v>Số lượt</x:v>
      </x:c>
      <x:c r="M4" s="10" t="str">
        <x:v>Phạm vi</x:v>
      </x:c>
    </x:row>
    <x:row r="5" ht="36" customHeight="1">
      <x:c r="A5" s="11" t="str">
        <x:v>I00</x:v>
      </x:c>
      <x:c r="B5" s="11" t="str">
        <x:v>Version 5</x:v>
      </x:c>
      <x:c r="C5" s="11" t="str">
        <x:v>Tesla T4</x:v>
      </x:c>
      <x:c r="D5" s="11" t="str">
        <x:v>fp32</x:v>
      </x:c>
      <x:c r="E5" s="14" t="n">
        <x:v>1</x:v>
      </x:c>
      <x:c r="F5" s="11" t="str">
        <x:v>Không (LayerNorm)</x:v>
      </x:c>
      <x:c r="G5" s="13" t="n">
        <x:v>5.735270500736078</x:v>
      </x:c>
      <x:c r="H5" s="13" t="n">
        <x:v>8.626604649816727</x:v>
      </x:c>
      <x:c r="I5" s="13" t="n">
        <x:v>8.672549061011525</x:v>
      </x:c>
      <x:c r="J5" s="13" t="n">
        <x:v>174.35969234086826</x:v>
      </x:c>
      <x:c r="K5" s="14" t="n">
        <x:v>10</x:v>
      </x:c>
      <x:c r="L5" s="14" t="n">
        <x:v>100</x:v>
      </x:c>
      <x:c r="M5" s="12" t="str">
        <x:v>Forward; preprocessing/aggregation excluded</x:v>
      </x:c>
    </x:row>
    <x:row r="6" ht="36" customHeight="1">
      <x:c r="A6" s="15" t="str">
        <x:v>I01_hflip_prob</x:v>
      </x:c>
      <x:c r="B6" s="15" t="str">
        <x:v>Version 5</x:v>
      </x:c>
      <x:c r="C6" s="15" t="str">
        <x:v>Tesla T4</x:v>
      </x:c>
      <x:c r="D6" s="15" t="str">
        <x:v>fp32</x:v>
      </x:c>
      <x:c r="E6" s="18" t="n">
        <x:v>1</x:v>
      </x:c>
      <x:c r="F6" s="15" t="str">
        <x:v>Không (LayerNorm)</x:v>
      </x:c>
      <x:c r="G6" s="17" t="n">
        <x:v>11.7667660006191</x:v>
      </x:c>
      <x:c r="H6" s="17" t="n">
        <x:v>14.51899485000467</x:v>
      </x:c>
      <x:c r="I6" s="17" t="n">
        <x:v>18.03803698856428</x:v>
      </x:c>
      <x:c r="J6" s="17" t="n">
        <x:v>84.98511825147077</x:v>
      </x:c>
      <x:c r="K6" s="18" t="n">
        <x:v>10</x:v>
      </x:c>
      <x:c r="L6" s="18" t="n">
        <x:v>100</x:v>
      </x:c>
      <x:c r="M6" s="16" t="str">
        <x:v>Forward; preprocessing/aggregation excluded</x:v>
      </x:c>
    </x:row>
    <x:row r="7" ht="36" customHeight="1">
      <x:c r="A7" s="11" t="str">
        <x:v>I02_hflip_logit</x:v>
      </x:c>
      <x:c r="B7" s="11" t="str">
        <x:v>Version 5</x:v>
      </x:c>
      <x:c r="C7" s="11" t="str">
        <x:v>Tesla T4</x:v>
      </x:c>
      <x:c r="D7" s="11" t="str">
        <x:v>fp32</x:v>
      </x:c>
      <x:c r="E7" s="14" t="n">
        <x:v>1</x:v>
      </x:c>
      <x:c r="F7" s="11" t="str">
        <x:v>Không (LayerNorm)</x:v>
      </x:c>
      <x:c r="G7" s="13" t="n">
        <x:v>11.57935199989879</x:v>
      </x:c>
      <x:c r="H7" s="13" t="n">
        <x:v>12.22641434869729</x:v>
      </x:c>
      <x:c r="I7" s="13" t="n">
        <x:v>12.589455938650648</x:v>
      </x:c>
      <x:c r="J7" s="13" t="n">
        <x:v>86.36061845332455</x:v>
      </x:c>
      <x:c r="K7" s="14" t="n">
        <x:v>10</x:v>
      </x:c>
      <x:c r="L7" s="14" t="n">
        <x:v>100</x:v>
      </x:c>
      <x:c r="M7" s="12" t="str">
        <x:v>Forward; preprocessing/aggregation excluded</x:v>
      </x:c>
    </x:row>
    <x:row r="8" ht="36" customHeight="1">
      <x:c r="A8" s="15" t="str">
        <x:v>I03_temperature</x:v>
      </x:c>
      <x:c r="B8" s="15" t="str">
        <x:v>Version 5</x:v>
      </x:c>
      <x:c r="C8" s="15" t="str">
        <x:v>Tesla T4</x:v>
      </x:c>
      <x:c r="D8" s="15" t="str">
        <x:v>fp32</x:v>
      </x:c>
      <x:c r="E8" s="18" t="n">
        <x:v>1</x:v>
      </x:c>
      <x:c r="F8" s="15" t="str">
        <x:v>Không (LayerNorm)</x:v>
      </x:c>
      <x:c r="G8" s="17" t="n">
        <x:v>5.759807499998715</x:v>
      </x:c>
      <x:c r="H8" s="17" t="n">
        <x:v>6.310158299311297</x:v>
      </x:c>
      <x:c r="I8" s="17" t="n">
        <x:v>6.445217858654361</x:v>
      </x:c>
      <x:c r="J8" s="17" t="n">
        <x:v>173.61691341250955</x:v>
      </x:c>
      <x:c r="K8" s="18" t="n">
        <x:v>10</x:v>
      </x:c>
      <x:c r="L8" s="18" t="n">
        <x:v>100</x:v>
      </x:c>
      <x:c r="M8" s="16" t="str">
        <x:v>Forward; preprocessing/aggregation excluded</x:v>
      </x:c>
    </x:row>
    <x:row r="9" ht="36" customHeight="1">
      <x:c r="A9" s="11" t="str">
        <x:v>I04_fused</x:v>
      </x:c>
      <x:c r="B9" s="11" t="str">
        <x:v>Version 5</x:v>
      </x:c>
      <x:c r="C9" s="11" t="str">
        <x:v>Tesla T4</x:v>
      </x:c>
      <x:c r="D9" s="11" t="str">
        <x:v>fp32</x:v>
      </x:c>
      <x:c r="E9" s="14" t="n">
        <x:v>1</x:v>
      </x:c>
      <x:c r="F9" s="11" t="str">
        <x:v>Không (LayerNorm)</x:v>
      </x:c>
      <x:c r="G9" s="13" t="n">
        <x:v>5.8953879997716285</x:v>
      </x:c>
      <x:c r="H9" s="13" t="n">
        <x:v>6.418053000197688</x:v>
      </x:c>
      <x:c r="I9" s="13" t="n">
        <x:v>6.618099488860027</x:v>
      </x:c>
      <x:c r="J9" s="13" t="n">
        <x:v>169.6241197422014</x:v>
      </x:c>
      <x:c r="K9" s="14" t="n">
        <x:v>10</x:v>
      </x:c>
      <x:c r="L9" s="14" t="n">
        <x:v>100</x:v>
      </x:c>
      <x:c r="M9" s="12" t="str">
        <x:v>Forward; preprocessing/aggregation excluded</x:v>
      </x:c>
    </x:row>
    <x:row r="10" ht="36" customHeight="1">
      <x:c r="A10" s="15" t="str">
        <x:v>I05_fp16</x:v>
      </x:c>
      <x:c r="B10" s="15" t="str">
        <x:v>Version 5</x:v>
      </x:c>
      <x:c r="C10" s="15" t="str">
        <x:v>Tesla T4</x:v>
      </x:c>
      <x:c r="D10" s="15" t="str">
        <x:v>fp16</x:v>
      </x:c>
      <x:c r="E10" s="18" t="n">
        <x:v>1</x:v>
      </x:c>
      <x:c r="F10" s="15" t="str">
        <x:v>Không (LayerNorm)</x:v>
      </x:c>
      <x:c r="G10" s="17" t="n">
        <x:v>5.484661499394861</x:v>
      </x:c>
      <x:c r="H10" s="17" t="n">
        <x:v>5.933718449159642</x:v>
      </x:c>
      <x:c r="I10" s="17" t="n">
        <x:v>6.702068259983209</x:v>
      </x:c>
      <x:c r="J10" s="17" t="n">
        <x:v>182.3266577363677</x:v>
      </x:c>
      <x:c r="K10" s="18" t="n">
        <x:v>10</x:v>
      </x:c>
      <x:c r="L10" s="18" t="n">
        <x:v>100</x:v>
      </x:c>
      <x:c r="M10" s="16" t="str">
        <x:v>Forward; preprocessing/aggregation excluded</x:v>
      </x:c>
    </x:row>
    <x:row r="11" ht="36" customHeight="1">
      <x:c r="A11" s="11" t="str">
        <x:v>B01</x:v>
      </x:c>
      <x:c r="B11" s="11" t="str">
        <x:v>Bổ sung sau chạy</x:v>
      </x:c>
      <x:c r="C11" s="11" t="str">
        <x:v>Tesla T4</x:v>
      </x:c>
      <x:c r="D11" s="11" t="str">
        <x:v>fp32</x:v>
      </x:c>
      <x:c r="E11" s="14" t="n">
        <x:v>1</x:v>
      </x:c>
      <x:c r="F11" s="11" t="str">
        <x:v>Không</x:v>
      </x:c>
      <x:c r="G11" s="13" t="n">
        <x:v>5.544010499988872</x:v>
      </x:c>
      <x:c r="H11" s="13" t="n">
        <x:v>7.266447850042823</x:v>
      </x:c>
      <x:c r="I11" s="13" t="n">
        <x:v>8.414891610143513</x:v>
      </x:c>
      <x:c r="J11" s="13" t="n">
        <x:v>180.37483875652964</x:v>
      </x:c>
      <x:c r="K11" s="14" t="n">
        <x:v>10</x:v>
      </x:c>
      <x:c r="L11" s="14" t="n">
        <x:v>100</x:v>
      </x:c>
      <x:c r="M11" s="12" t="str">
        <x:v>forward; aggregation excluded</x:v>
      </x:c>
    </x:row>
    <x:row r="12" ht="36" customHeight="1">
      <x:c r="A12" s="15" t="str">
        <x:v>B02</x:v>
      </x:c>
      <x:c r="B12" s="15" t="str">
        <x:v>Bổ sung sau chạy</x:v>
      </x:c>
      <x:c r="C12" s="15" t="str">
        <x:v>Tesla T4</x:v>
      </x:c>
      <x:c r="D12" s="15" t="str">
        <x:v>fp32</x:v>
      </x:c>
      <x:c r="E12" s="18" t="n">
        <x:v>1</x:v>
      </x:c>
      <x:c r="F12" s="15" t="str">
        <x:v>Không</x:v>
      </x:c>
      <x:c r="G12" s="17" t="n">
        <x:v>7.287464000000909</x:v>
      </x:c>
      <x:c r="H12" s="17" t="n">
        <x:v>7.889832449950518</x:v>
      </x:c>
      <x:c r="I12" s="17" t="n">
        <x:v>8.367803540163555</x:v>
      </x:c>
      <x:c r="J12" s="17" t="n">
        <x:v>137.22194716843543</x:v>
      </x:c>
      <x:c r="K12" s="18" t="n">
        <x:v>10</x:v>
      </x:c>
      <x:c r="L12" s="18" t="n">
        <x:v>100</x:v>
      </x:c>
      <x:c r="M12" s="16" t="str">
        <x:v>forward; aggregation excluded</x:v>
      </x:c>
    </x:row>
    <x:row r="13" ht="36" customHeight="1">
      <x:c r="A13" s="11" t="str">
        <x:v>B03</x:v>
      </x:c>
      <x:c r="B13" s="11" t="str">
        <x:v>Bổ sung sau chạy</x:v>
      </x:c>
      <x:c r="C13" s="11" t="str">
        <x:v>Tesla T4</x:v>
      </x:c>
      <x:c r="D13" s="11" t="str">
        <x:v>fp32</x:v>
      </x:c>
      <x:c r="E13" s="14" t="n">
        <x:v>1</x:v>
      </x:c>
      <x:c r="F13" s="11" t="str">
        <x:v>Không</x:v>
      </x:c>
      <x:c r="G13" s="13" t="n">
        <x:v>5.324631999883422</x:v>
      </x:c>
      <x:c r="H13" s="13" t="n">
        <x:v>9.365119550068355</x:v>
      </x:c>
      <x:c r="I13" s="13" t="n">
        <x:v>9.415016839977852</x:v>
      </x:c>
      <x:c r="J13" s="13" t="n">
        <x:v>187.80640615574825</x:v>
      </x:c>
      <x:c r="K13" s="14" t="n">
        <x:v>10</x:v>
      </x:c>
      <x:c r="L13" s="14" t="n">
        <x:v>100</x:v>
      </x:c>
      <x:c r="M13" s="12" t="str">
        <x:v>forward; aggregation excluded</x:v>
      </x:c>
    </x:row>
    <x:row r="14" ht="36" customHeight="1">
      <x:c r="A14" s="15" t="str">
        <x:v>B04</x:v>
      </x:c>
      <x:c r="B14" s="15" t="str">
        <x:v>Bổ sung sau chạy</x:v>
      </x:c>
      <x:c r="C14" s="15" t="str">
        <x:v>Tesla T4</x:v>
      </x:c>
      <x:c r="D14" s="15" t="str">
        <x:v>fp32</x:v>
      </x:c>
      <x:c r="E14" s="18" t="n">
        <x:v>1</x:v>
      </x:c>
      <x:c r="F14" s="15" t="str">
        <x:v>Không</x:v>
      </x:c>
      <x:c r="G14" s="17" t="n">
        <x:v>4.547677000005024</x:v>
      </x:c>
      <x:c r="H14" s="17" t="n">
        <x:v>5.1018707500361415</x:v>
      </x:c>
      <x:c r="I14" s="17" t="n">
        <x:v>5.755179080008476</x:v>
      </x:c>
      <x:c r="J14" s="17" t="n">
        <x:v>219.8924857677657</x:v>
      </x:c>
      <x:c r="K14" s="18" t="n">
        <x:v>10</x:v>
      </x:c>
      <x:c r="L14" s="18" t="n">
        <x:v>100</x:v>
      </x:c>
      <x:c r="M14" s="16" t="str">
        <x:v>forward; aggregation excluded</x:v>
      </x:c>
    </x:row>
    <x:row r="15" ht="36" customHeight="1">
      <x:c r="A15" s="11" t="str">
        <x:v>B05</x:v>
      </x:c>
      <x:c r="B15" s="11" t="str">
        <x:v>Bổ sung sau chạy</x:v>
      </x:c>
      <x:c r="C15" s="11" t="str">
        <x:v>Tesla T4</x:v>
      </x:c>
      <x:c r="D15" s="11" t="str">
        <x:v>fp32</x:v>
      </x:c>
      <x:c r="E15" s="14" t="n">
        <x:v>1</x:v>
      </x:c>
      <x:c r="F15" s="11" t="str">
        <x:v>Không</x:v>
      </x:c>
      <x:c r="G15" s="13" t="n">
        <x:v>7.567908999931205</x:v>
      </x:c>
      <x:c r="H15" s="13" t="n">
        <x:v>8.328551000113293</x:v>
      </x:c>
      <x:c r="I15" s="13" t="n">
        <x:v>10.426326249883006</x:v>
      </x:c>
      <x:c r="J15" s="13" t="n">
        <x:v>132.13689541048794</x:v>
      </x:c>
      <x:c r="K15" s="14" t="n">
        <x:v>10</x:v>
      </x:c>
      <x:c r="L15" s="14" t="n">
        <x:v>100</x:v>
      </x:c>
      <x:c r="M15" s="12" t="str">
        <x:v>forward; aggregation excluded</x:v>
      </x:c>
    </x:row>
    <x:row r="16" ht="36" customHeight="1">
      <x:c r="A16" s="15" t="str">
        <x:v>I00</x:v>
      </x:c>
      <x:c r="B16" s="15" t="str">
        <x:v>Bổ sung sau chạy</x:v>
      </x:c>
      <x:c r="C16" s="15" t="str">
        <x:v>Tesla T4</x:v>
      </x:c>
      <x:c r="D16" s="15" t="str">
        <x:v>fp32</x:v>
      </x:c>
      <x:c r="E16" s="18" t="n">
        <x:v>32</x:v>
      </x:c>
      <x:c r="F16" s="15" t="str">
        <x:v>Không</x:v>
      </x:c>
      <x:c r="G16" s="17" t="n">
        <x:v>113.05249450003885</x:v>
      </x:c>
      <x:c r="H16" s="17" t="n">
        <x:v>114.48020499997256</x:v>
      </x:c>
      <x:c r="I16" s="17" t="n">
        <x:v>117.95417062001437</x:v>
      </x:c>
      <x:c r="J16" s="17" t="n">
        <x:v>283.054346934282</x:v>
      </x:c>
      <x:c r="K16" s="18" t="n">
        <x:v>10</x:v>
      </x:c>
      <x:c r="L16" s="18" t="n">
        <x:v>100</x:v>
      </x:c>
      <x:c r="M16" s="16" t="str">
        <x:v>forward; aggregation excluded</x:v>
      </x:c>
    </x:row>
    <x:row r="17" ht="36" customHeight="1">
      <x:c r="A17" s="11" t="str">
        <x:v>I01_hflip_prob</x:v>
      </x:c>
      <x:c r="B17" s="11" t="str">
        <x:v>Bổ sung sau chạy</x:v>
      </x:c>
      <x:c r="C17" s="11" t="str">
        <x:v>Tesla T4</x:v>
      </x:c>
      <x:c r="D17" s="11" t="str">
        <x:v>fp32</x:v>
      </x:c>
      <x:c r="E17" s="14" t="n">
        <x:v>32</x:v>
      </x:c>
      <x:c r="F17" s="11" t="str">
        <x:v>Không</x:v>
      </x:c>
      <x:c r="G17" s="13" t="n">
        <x:v>232.85348349998003</x:v>
      </x:c>
      <x:c r="H17" s="13" t="n">
        <x:v>237.327280750128</x:v>
      </x:c>
      <x:c r="I17" s="13" t="n">
        <x:v>238.81164524986843</x:v>
      </x:c>
      <x:c r="J17" s="13" t="n">
        <x:v>137.42547252896367</x:v>
      </x:c>
      <x:c r="K17" s="14" t="n">
        <x:v>10</x:v>
      </x:c>
      <x:c r="L17" s="14" t="n">
        <x:v>100</x:v>
      </x:c>
      <x:c r="M17" s="12" t="str">
        <x:v>forward; aggregation excluded</x:v>
      </x:c>
    </x:row>
    <x:row r="18" ht="36" customHeight="1">
      <x:c r="A18" s="15" t="str">
        <x:v>I02_hflip_logit</x:v>
      </x:c>
      <x:c r="B18" s="15" t="str">
        <x:v>Bổ sung sau chạy</x:v>
      </x:c>
      <x:c r="C18" s="15" t="str">
        <x:v>Tesla T4</x:v>
      </x:c>
      <x:c r="D18" s="15" t="str">
        <x:v>fp32</x:v>
      </x:c>
      <x:c r="E18" s="18" t="n">
        <x:v>32</x:v>
      </x:c>
      <x:c r="F18" s="15" t="str">
        <x:v>Không</x:v>
      </x:c>
      <x:c r="G18" s="17" t="n">
        <x:v>242.5679335000268</x:v>
      </x:c>
      <x:c r="H18" s="17" t="n">
        <x:v>246.5298515500308</x:v>
      </x:c>
      <x:c r="I18" s="17" t="n">
        <x:v>247.42686277009173</x:v>
      </x:c>
      <x:c r="J18" s="17" t="n">
        <x:v>131.92180655649796</x:v>
      </x:c>
      <x:c r="K18" s="18" t="n">
        <x:v>10</x:v>
      </x:c>
      <x:c r="L18" s="18" t="n">
        <x:v>100</x:v>
      </x:c>
      <x:c r="M18" s="16" t="str">
        <x:v>forward; aggregation excluded</x:v>
      </x:c>
    </x:row>
    <x:row r="19" ht="36" customHeight="1">
      <x:c r="A19" s="11" t="str">
        <x:v>I03_temperature</x:v>
      </x:c>
      <x:c r="B19" s="11" t="str">
        <x:v>Bổ sung sau chạy</x:v>
      </x:c>
      <x:c r="C19" s="11" t="str">
        <x:v>Tesla T4</x:v>
      </x:c>
      <x:c r="D19" s="11" t="str">
        <x:v>fp32</x:v>
      </x:c>
      <x:c r="E19" s="14" t="n">
        <x:v>32</x:v>
      </x:c>
      <x:c r="F19" s="11" t="str">
        <x:v>Không</x:v>
      </x:c>
      <x:c r="G19" s="13" t="n">
        <x:v>124.19756149995465</x:v>
      </x:c>
      <x:c r="H19" s="13" t="n">
        <x:v>126.6271876499104</x:v>
      </x:c>
      <x:c r="I19" s="13" t="n">
        <x:v>126.96809861987732</x:v>
      </x:c>
      <x:c r="J19" s="13" t="n">
        <x:v>257.6540119913038</x:v>
      </x:c>
      <x:c r="K19" s="14" t="n">
        <x:v>10</x:v>
      </x:c>
      <x:c r="L19" s="14" t="n">
        <x:v>100</x:v>
      </x:c>
      <x:c r="M19" s="12" t="str">
        <x:v>forward; aggregation excluded</x:v>
      </x:c>
    </x:row>
    <x:row r="20" ht="36" customHeight="1">
      <x:c r="A20" s="15" t="str">
        <x:v>I04_fused</x:v>
      </x:c>
      <x:c r="B20" s="15" t="str">
        <x:v>Bổ sung sau chạy</x:v>
      </x:c>
      <x:c r="C20" s="15" t="str">
        <x:v>Tesla T4</x:v>
      </x:c>
      <x:c r="D20" s="15" t="str">
        <x:v>fp32</x:v>
      </x:c>
      <x:c r="E20" s="18" t="n">
        <x:v>32</x:v>
      </x:c>
      <x:c r="F20" s="15" t="str">
        <x:v>No-op</x:v>
      </x:c>
      <x:c r="G20" s="17" t="n">
        <x:v>128.24395400002686</x:v>
      </x:c>
      <x:c r="H20" s="17" t="n">
        <x:v>130.6937271501738</x:v>
      </x:c>
      <x:c r="I20" s="17" t="n">
        <x:v>131.65863544999183</x:v>
      </x:c>
      <x:c r="J20" s="17" t="n">
        <x:v>249.52443372101035</x:v>
      </x:c>
      <x:c r="K20" s="18" t="n">
        <x:v>10</x:v>
      </x:c>
      <x:c r="L20" s="18" t="n">
        <x:v>100</x:v>
      </x:c>
      <x:c r="M20" s="16" t="str">
        <x:v>forward; aggregation excluded</x:v>
      </x:c>
    </x:row>
    <x:row r="21" ht="36" customHeight="1">
      <x:c r="A21" s="11" t="str">
        <x:v>I05_fp16</x:v>
      </x:c>
      <x:c r="B21" s="11" t="str">
        <x:v>Bổ sung sau chạy</x:v>
      </x:c>
      <x:c r="C21" s="11" t="str">
        <x:v>Tesla T4</x:v>
      </x:c>
      <x:c r="D21" s="11" t="str">
        <x:v>fp16</x:v>
      </x:c>
      <x:c r="E21" s="14" t="n">
        <x:v>32</x:v>
      </x:c>
      <x:c r="F21" s="11" t="str">
        <x:v>Không</x:v>
      </x:c>
      <x:c r="G21" s="13" t="n">
        <x:v>38.77436899983877</x:v>
      </x:c>
      <x:c r="H21" s="13" t="n">
        <x:v>39.07311835010887</x:v>
      </x:c>
      <x:c r="I21" s="13" t="n">
        <x:v>39.49135176990467</x:v>
      </x:c>
      <x:c r="J21" s="13" t="n">
        <x:v>825.2874469764565</x:v>
      </x:c>
      <x:c r="K21" s="14" t="n">
        <x:v>10</x:v>
      </x:c>
      <x:c r="L21" s="14" t="n">
        <x:v>100</x:v>
      </x:c>
      <x:c r="M21" s="12" t="str">
        <x:v>forward; aggregation excluded</x:v>
      </x:c>
    </x:row>
    <x:row r="22" ht="36" customHeight="1">
      <x:c r="A22" s="15" t="str">
        <x:v>T03_color</x:v>
      </x:c>
      <x:c r="B22" s="15" t="str">
        <x:v>Bổ sung sau chạy</x:v>
      </x:c>
      <x:c r="C22" s="15" t="str">
        <x:v>Tesla T4</x:v>
      </x:c>
      <x:c r="D22" s="15" t="str">
        <x:v>fp32</x:v>
      </x:c>
      <x:c r="E22" s="18" t="n">
        <x:v>1</x:v>
      </x:c>
      <x:c r="F22" s="15" t="str">
        <x:v>Không</x:v>
      </x:c>
      <x:c r="G22" s="17" t="n">
        <x:v>5.459655500089866</x:v>
      </x:c>
      <x:c r="H22" s="17" t="n">
        <x:v>9.37577274985415</x:v>
      </x:c>
      <x:c r="I22" s="17" t="n">
        <x:v>9.400668609810054</x:v>
      </x:c>
      <x:c r="J22" s="17" t="n">
        <x:v>183.16173978074988</x:v>
      </x:c>
      <x:c r="K22" s="18" t="n">
        <x:v>10</x:v>
      </x:c>
      <x:c r="L22" s="18" t="n">
        <x:v>100</x:v>
      </x:c>
      <x:c r="M22" s="16" t="str">
        <x:v>forward; aggregation excluded</x:v>
      </x:c>
    </x:row>
    <x:row r="23" ht="36" customHeight="1">
      <x:c r="A23" s="11" t="str">
        <x:v>T05_mixup</x:v>
      </x:c>
      <x:c r="B23" s="11" t="str">
        <x:v>Bổ sung sau chạy</x:v>
      </x:c>
      <x:c r="C23" s="11" t="str">
        <x:v>Tesla T4</x:v>
      </x:c>
      <x:c r="D23" s="11" t="str">
        <x:v>fp32</x:v>
      </x:c>
      <x:c r="E23" s="14" t="n">
        <x:v>1</x:v>
      </x:c>
      <x:c r="F23" s="11" t="str">
        <x:v>Không</x:v>
      </x:c>
      <x:c r="G23" s="13" t="n">
        <x:v>5.36419299987756</x:v>
      </x:c>
      <x:c r="H23" s="13" t="n">
        <x:v>5.714422000232844</x:v>
      </x:c>
      <x:c r="I23" s="13" t="n">
        <x:v>6.217464860169462</x:v>
      </x:c>
      <x:c r="J23" s="13" t="n">
        <x:v>186.42133122779612</x:v>
      </x:c>
      <x:c r="K23" s="14" t="n">
        <x:v>10</x:v>
      </x:c>
      <x:c r="L23" s="14" t="n">
        <x:v>100</x:v>
      </x:c>
      <x:c r="M23" s="12" t="str">
        <x:v>forward; aggregation excluded</x:v>
      </x:c>
    </x:row>
    <x:row r="24" ht="36" customHeight="1">
      <x:c r="A24" s="15" t="str">
        <x:v>T07_focal</x:v>
      </x:c>
      <x:c r="B24" s="15" t="str">
        <x:v>Bổ sung sau chạy</x:v>
      </x:c>
      <x:c r="C24" s="15" t="str">
        <x:v>Tesla T4</x:v>
      </x:c>
      <x:c r="D24" s="15" t="str">
        <x:v>fp32</x:v>
      </x:c>
      <x:c r="E24" s="18" t="n">
        <x:v>1</x:v>
      </x:c>
      <x:c r="F24" s="15" t="str">
        <x:v>Không</x:v>
      </x:c>
      <x:c r="G24" s="17" t="n">
        <x:v>5.358528999977352</x:v>
      </x:c>
      <x:c r="H24" s="17" t="n">
        <x:v>5.623024449892</x:v>
      </x:c>
      <x:c r="I24" s="17" t="n">
        <x:v>6.02490240037696</x:v>
      </x:c>
      <x:c r="J24" s="17" t="n">
        <x:v>186.61837978374783</x:v>
      </x:c>
      <x:c r="K24" s="18" t="n">
        <x:v>10</x:v>
      </x:c>
      <x:c r="L24" s="18" t="n">
        <x:v>100</x:v>
      </x:c>
      <x:c r="M24" s="16" t="str">
        <x:v>forward; aggregation excluded</x:v>
      </x:c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</x:row>
  </x:sheetData>
  <x:mergeCells>
    <x:mergeCell ref="A1:M1"/>
    <x:mergeCell ref="A2:M2"/>
  </x:mergeCells>
  <x:pageMargins left="0.7" right="0.7" top="0.75" bottom="0.75" header="0.3" footer="0.3"/>
  <x:tableParts count="1">
    <x:tablePart xmlns:r="http://schemas.openxmlformats.org/officeDocument/2006/relationships" r:id="R2d39cee768044e87"/>
  </x:tableParts>
</x:worksheet>
</file>

<file path=xl/worksheets/sheet7.xml><?xml version="1.0" encoding="utf-8"?>
<x:worksheet xmlns:x="http://schemas.openxmlformats.org/spreadsheetml/2006/main">
  <x:sheetPr>
    <x:tabColor rgb="FF0F766E"/>
  </x:sheetPr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11" hidden="0" customWidth="1"/>
    <x:col min="2" max="2" width="26" hidden="0" customWidth="1"/>
    <x:col min="3" max="3" width="20" hidden="0" customWidth="1"/>
    <x:col min="4" max="4" width="39" hidden="0" customWidth="1"/>
    <x:col min="5" max="5" width="20" hidden="0" customWidth="1"/>
    <x:col min="6" max="6" width="20" hidden="0" customWidth="1"/>
    <x:col min="7" max="7" width="25" hidden="0" customWidth="1"/>
    <x:col min="8" max="8" width="14" hidden="0" customWidth="1"/>
    <x:col min="9" max="9" width="24" hidden="0" customWidth="1"/>
  </x:cols>
  <x:sheetData>
    <x:row r="1">
      <x:c r="A1" s="2" t="str">
        <x:v>Top 10 cấu hình theo macro-F1 validation (seed 0)</x:v>
      </x:c>
      <x:c r="B1" s="1"/>
      <x:c r="C1" s="1"/>
      <x:c r="D1" s="1"/>
      <x:c r="E1" s="1"/>
      <x:c r="F1" s="1"/>
      <x:c r="G1" s="1"/>
      <x:c r="H1" s="1"/>
      <x:c r="I1" s="1"/>
    </x:row>
    <x:row r="2" ht="32" customHeight="1">
      <x:c r="A2" s="5" t="str">
        <x:v>Xếp hạng cố định tại version 5; T00 trùng B03 được loại. Latency Training đo bổ sung từ checkpoint; T06 dùng đúng phép đo I00. Chỉ val dùng để chọn.</x:v>
      </x:c>
      <x:c r="B2" s="5"/>
      <x:c r="C2" s="5"/>
      <x:c r="D2" s="5"/>
      <x:c r="E2" s="5"/>
      <x:c r="F2" s="5"/>
      <x:c r="G2" s="5"/>
      <x:c r="H2" s="5"/>
      <x:c r="I2" s="5"/>
    </x:row>
    <x:row r="3">
      <x:c r="A3" s="1"/>
      <x:c r="B3" s="1"/>
      <x:c r="C3" s="1"/>
      <x:c r="D3" s="1"/>
      <x:c r="E3" s="1"/>
      <x:c r="F3" s="1"/>
      <x:c r="G3" s="1"/>
      <x:c r="H3" s="1"/>
      <x:c r="I3" s="1"/>
    </x:row>
    <x:row r="4" ht="42" customHeight="1">
      <x:c r="A4" s="10" t="str">
        <x:v>Hạng</x:v>
      </x:c>
      <x:c r="B4" s="10" t="str">
        <x:v>exp_id</x:v>
      </x:c>
      <x:c r="C4" s="10" t="str">
        <x:v>Giai đoạn</x:v>
      </x:c>
      <x:c r="D4" s="10" t="str">
        <x:v>Cấu hình</x:v>
      </x:c>
      <x:c r="E4" s="10" t="str">
        <x:v>Macro-F1 val</x:v>
      </x:c>
      <x:c r="F4" s="10" t="str">
        <x:v>Top-1 val</x:v>
      </x:c>
      <x:c r="G4" s="10" t="str">
        <x:v>p50 batch 1 (ms)</x:v>
      </x:c>
      <x:c r="H4" s="10" t="str">
        <x:v>Số view</x:v>
      </x:c>
      <x:c r="I4" s="10" t="str">
        <x:v>Chi phí / I00</x:v>
      </x:c>
    </x:row>
    <x:row r="5" ht="35" customHeight="1">
      <x:c r="A5" s="26" t="n">
        <x:v>1</x:v>
      </x:c>
      <x:c r="B5" s="23" t="str">
        <x:v>I01_hflip_prob</x:v>
      </x:c>
      <x:c r="C5" s="23" t="str">
        <x:v>Inference</x:v>
      </x:c>
      <x:c r="D5" s="24" t="str">
        <x:v>Hflip, trung bình xác suất</x:v>
      </x:c>
      <x:c r="E5" s="25" t="n">
        <x:f>'Inference'!E6</x:f>
        <x:v>0.9727395001314864</x:v>
      </x:c>
      <x:c r="F5" s="25" t="n">
        <x:f>'Inference'!F6</x:f>
        <x:v>0.9797200799771494</x:v>
      </x:c>
      <x:c r="G5" s="25" t="n">
        <x:f>'Inference'!H6</x:f>
        <x:v>11.7667660006191</x:v>
      </x:c>
      <x:c r="H5" s="23" t="str">
        <x:v>K=2</x:v>
      </x:c>
      <x:c r="I5" s="25" t="n">
        <x:f>'Inference'!L6</x:f>
        <x:v>2.051649699714935</x:v>
      </x:c>
    </x:row>
    <x:row r="6" ht="35" customHeight="1">
      <x:c r="A6" s="18" t="n">
        <x:v>2</x:v>
      </x:c>
      <x:c r="B6" s="15" t="str">
        <x:v>I02_hflip_logit</x:v>
      </x:c>
      <x:c r="C6" s="15" t="str">
        <x:v>Inference</x:v>
      </x:c>
      <x:c r="D6" s="16" t="str">
        <x:v>Hflip, trung bình logits</x:v>
      </x:c>
      <x:c r="E6" s="17" t="n">
        <x:f>'Inference'!E7</x:f>
        <x:v>0.9724424950549108</x:v>
      </x:c>
      <x:c r="F6" s="17" t="n">
        <x:f>'Inference'!F7</x:f>
        <x:v>0.9794344473007712</x:v>
      </x:c>
      <x:c r="G6" s="17" t="n">
        <x:f>'Inference'!H7</x:f>
        <x:v>11.57935199989879</x:v>
      </x:c>
      <x:c r="H6" s="15" t="str">
        <x:v>K=2</x:v>
      </x:c>
      <x:c r="I6" s="17" t="n">
        <x:f>'Inference'!L7</x:f>
        <x:v>2.0189722522089704</x:v>
      </x:c>
    </x:row>
    <x:row r="7" ht="35" customHeight="1">
      <x:c r="A7" s="14" t="n">
        <x:v>3</x:v>
      </x:c>
      <x:c r="B7" s="11" t="str">
        <x:v>I00</x:v>
      </x:c>
      <x:c r="C7" s="11" t="str">
        <x:v>Inference</x:v>
      </x:c>
      <x:c r="D7" s="12" t="str">
        <x:v>1-view FP32</x:v>
      </x:c>
      <x:c r="E7" s="13" t="n">
        <x:f>'Inference'!E5</x:f>
        <x:v>0.971209485039089</x:v>
      </x:c>
      <x:c r="F7" s="13" t="n">
        <x:f>'Inference'!F5</x:f>
        <x:v>0.9785775492716366</x:v>
      </x:c>
      <x:c r="G7" s="13" t="n">
        <x:f>'Inference'!H5</x:f>
        <x:v>5.735270500736078</x:v>
      </x:c>
      <x:c r="H7" s="11" t="str">
        <x:v>K=1</x:v>
      </x:c>
      <x:c r="I7" s="13" t="n">
        <x:f>'Inference'!L5</x:f>
        <x:v>1</x:v>
      </x:c>
    </x:row>
    <x:row r="8" ht="35" customHeight="1">
      <x:c r="A8" s="18" t="n">
        <x:v>4</x:v>
      </x:c>
      <x:c r="B8" s="15" t="str">
        <x:v>I03_temperature</x:v>
      </x:c>
      <x:c r="C8" s="15" t="str">
        <x:v>Inference</x:v>
      </x:c>
      <x:c r="D8" s="16" t="str">
        <x:v>1-view + temperature</x:v>
      </x:c>
      <x:c r="E8" s="17" t="n">
        <x:f>'Inference'!E8</x:f>
        <x:v>0.971209485039089</x:v>
      </x:c>
      <x:c r="F8" s="17" t="n">
        <x:f>'Inference'!F8</x:f>
        <x:v>0.9785775492716366</x:v>
      </x:c>
      <x:c r="G8" s="17" t="n">
        <x:f>'Inference'!H8</x:f>
        <x:v>5.759807499998715</x:v>
      </x:c>
      <x:c r="H8" s="15" t="str">
        <x:v>K=1</x:v>
      </x:c>
      <x:c r="I8" s="17" t="n">
        <x:f>'Inference'!L8</x:f>
        <x:v>1.0042782636424015</x:v>
      </x:c>
    </x:row>
    <x:row r="9" ht="35" customHeight="1">
      <x:c r="A9" s="14" t="n">
        <x:v>5</x:v>
      </x:c>
      <x:c r="B9" s="11" t="str">
        <x:v>I04_fused</x:v>
      </x:c>
      <x:c r="C9" s="11" t="str">
        <x:v>Inference</x:v>
      </x:c>
      <x:c r="D9" s="12" t="str">
        <x:v>Conv-BN fusion (no-op)</x:v>
      </x:c>
      <x:c r="E9" s="13" t="n">
        <x:f>'Inference'!E9</x:f>
        <x:v>0.971209485039089</x:v>
      </x:c>
      <x:c r="F9" s="13" t="n">
        <x:f>'Inference'!F9</x:f>
        <x:v>0.9785775492716366</x:v>
      </x:c>
      <x:c r="G9" s="13" t="n">
        <x:f>'Inference'!H9</x:f>
        <x:v>5.8953879997716285</x:v>
      </x:c>
      <x:c r="H9" s="11" t="str">
        <x:v>K=1</x:v>
      </x:c>
      <x:c r="I9" s="13" t="n">
        <x:f>'Inference'!L9</x:f>
        <x:v>1.0279180378702277</x:v>
      </x:c>
    </x:row>
    <x:row r="10" ht="35" customHeight="1">
      <x:c r="A10" s="18" t="n">
        <x:v>6</x:v>
      </x:c>
      <x:c r="B10" s="15" t="str">
        <x:v>I05_fp16</x:v>
      </x:c>
      <x:c r="C10" s="15" t="str">
        <x:v>Inference</x:v>
      </x:c>
      <x:c r="D10" s="16" t="str">
        <x:v>1-view FP16</x:v>
      </x:c>
      <x:c r="E10" s="17" t="n">
        <x:f>'Inference'!E10</x:f>
        <x:v>0.971209485039089</x:v>
      </x:c>
      <x:c r="F10" s="17" t="n">
        <x:f>'Inference'!F10</x:f>
        <x:v>0.9785775492716366</x:v>
      </x:c>
      <x:c r="G10" s="17" t="n">
        <x:f>'Inference'!H10</x:f>
        <x:v>5.484661499394861</x:v>
      </x:c>
      <x:c r="H10" s="15" t="str">
        <x:v>K=1</x:v>
      </x:c>
      <x:c r="I10" s="17" t="n">
        <x:f>'Inference'!L10</x:f>
        <x:v>0.9563038916282931</x:v>
      </x:c>
    </x:row>
    <x:row r="11" ht="35" customHeight="1">
      <x:c r="A11" s="14" t="n">
        <x:v>7</x:v>
      </x:c>
      <x:c r="B11" s="11" t="str">
        <x:v>T06_ls</x:v>
      </x:c>
      <x:c r="C11" s="11" t="str">
        <x:v>Training</x:v>
      </x:c>
      <x:c r="D11" s="12" t="str">
        <x:v>convnext_tiny</x:v>
      </x:c>
      <x:c r="E11" s="13" t="n">
        <x:f>'Training'!F11</x:f>
        <x:v>0.971209485039089</x:v>
      </x:c>
      <x:c r="F11" s="13" t="n">
        <x:f>'Training'!G11</x:f>
        <x:v>0.9785775492716366</x:v>
      </x:c>
      <x:c r="G11" s="13" t="n">
        <x:f>'Inference'!H5</x:f>
        <x:v>5.735270500736078</x:v>
      </x:c>
      <x:c r="H11" s="11" t="str">
        <x:v>K=1</x:v>
      </x:c>
      <x:c r="I11" s="13" t="n">
        <x:f>G11/'Inference'!$H$5</x:f>
        <x:v>1</x:v>
      </x:c>
    </x:row>
    <x:row r="12" ht="35" customHeight="1">
      <x:c r="A12" s="18" t="n">
        <x:v>8</x:v>
      </x:c>
      <x:c r="B12" s="15" t="str">
        <x:v>T05_mixup</x:v>
      </x:c>
      <x:c r="C12" s="15" t="str">
        <x:v>Training</x:v>
      </x:c>
      <x:c r="D12" s="16" t="str">
        <x:v>convnext_tiny</x:v>
      </x:c>
      <x:c r="E12" s="17" t="n">
        <x:f>'Training'!F10</x:f>
        <x:v>0.9694901764483236</x:v>
      </x:c>
      <x:c r="F12" s="17" t="n">
        <x:f>'Training'!G10</x:f>
        <x:v>0.9768637532133676</x:v>
      </x:c>
      <x:c r="G12" s="17" t="n">
        <x:f>'Latency'!G23</x:f>
        <x:v>5.36419299987756</x:v>
      </x:c>
      <x:c r="H12" s="15" t="str">
        <x:v>K=1</x:v>
      </x:c>
      <x:c r="I12" s="17" t="n">
        <x:f>G12/'Inference'!$H$5</x:f>
        <x:v>0.9352990411156905</x:v>
      </x:c>
    </x:row>
    <x:row r="13" ht="35" customHeight="1">
      <x:c r="A13" s="14" t="n">
        <x:v>9</x:v>
      </x:c>
      <x:c r="B13" s="11" t="str">
        <x:v>T07_focal</x:v>
      </x:c>
      <x:c r="C13" s="11" t="str">
        <x:v>Training</x:v>
      </x:c>
      <x:c r="D13" s="12" t="str">
        <x:v>convnext_tiny</x:v>
      </x:c>
      <x:c r="E13" s="13" t="n">
        <x:f>'Training'!F12</x:f>
        <x:v>0.9690111793152424</x:v>
      </x:c>
      <x:c r="F13" s="13" t="n">
        <x:f>'Training'!G12</x:f>
        <x:v>0.9765781205369894</x:v>
      </x:c>
      <x:c r="G13" s="13" t="n">
        <x:f>'Latency'!G24</x:f>
        <x:v>5.358528999977352</x:v>
      </x:c>
      <x:c r="H13" s="11" t="str">
        <x:v>K=1</x:v>
      </x:c>
      <x:c r="I13" s="13" t="n">
        <x:f>G13/'Inference'!$H$5</x:f>
        <x:v>0.9343114678356715</x:v>
      </x:c>
    </x:row>
    <x:row r="14" ht="35" customHeight="1">
      <x:c r="A14" s="18" t="n">
        <x:v>10</x:v>
      </x:c>
      <x:c r="B14" s="15" t="str">
        <x:v>T03_color</x:v>
      </x:c>
      <x:c r="C14" s="15" t="str">
        <x:v>Training</x:v>
      </x:c>
      <x:c r="D14" s="16" t="str">
        <x:v>convnext_tiny</x:v>
      </x:c>
      <x:c r="E14" s="17" t="n">
        <x:f>'Training'!F8</x:f>
        <x:v>0.9683336741213994</x:v>
      </x:c>
      <x:c r="F14" s="17" t="n">
        <x:f>'Training'!G8</x:f>
        <x:v>0.976006855184233</x:v>
      </x:c>
      <x:c r="G14" s="17" t="n">
        <x:f>'Latency'!G22</x:f>
        <x:v>5.459655500089866</x:v>
      </x:c>
      <x:c r="H14" s="15" t="str">
        <x:v>K=1</x:v>
      </x:c>
      <x:c r="I14" s="17" t="n">
        <x:f>G14/'Inference'!$H$5</x:f>
        <x:v>0.9519438532827983</x:v>
      </x:c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</x:row>
    <x:row r="16" ht="40" customHeight="1">
      <x:c r="A16" s="27" t="str">
        <x:v>Chọn cuối: ConvNeXt-Tiny + label smoothing 0.1 + Hflip probability + temperature khớp trên val. Xem Final cho test 3 seed. Fusion trên ConvNeXt là no-op.</x:v>
      </x:c>
      <x:c r="B16" s="27"/>
      <x:c r="C16" s="27"/>
      <x:c r="D16" s="27"/>
      <x:c r="E16" s="27"/>
      <x:c r="F16" s="27"/>
      <x:c r="G16" s="27"/>
      <x:c r="H16" s="27"/>
      <x:c r="I16" s="27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</x:row>
  </x:sheetData>
  <x:mergeCells>
    <x:mergeCell ref="A1:I1"/>
    <x:mergeCell ref="A2:I2"/>
    <x:mergeCell ref="A16:I16"/>
  </x:mergeCells>
  <x:pageMargins left="0.7" right="0.7" top="0.75" bottom="0.75" header="0.3" footer="0.3"/>
  <x:tableParts count="1">
    <x:tablePart xmlns:r="http://schemas.openxmlformats.org/officeDocument/2006/relationships" r:id="R0d56ac2f21c34355"/>
  </x:tableParts>
</x:worksheet>
</file>